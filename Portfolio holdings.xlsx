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Value at Risk, app, Combined multi asset portfolio\data\"/>
    </mc:Choice>
  </mc:AlternateContent>
  <xr:revisionPtr revIDLastSave="0" documentId="13_ncr:1_{E19E9529-1283-491E-8C8A-02D5625B43CB}" xr6:coauthVersionLast="47" xr6:coauthVersionMax="47" xr10:uidLastSave="{00000000-0000-0000-0000-000000000000}"/>
  <bookViews>
    <workbookView xWindow="0" yWindow="360" windowWidth="19420" windowHeight="10300" activeTab="2" xr2:uid="{23302A4B-C99F-4E6E-AE98-79A028567345}"/>
  </bookViews>
  <sheets>
    <sheet name="Holdings" sheetId="1" r:id="rId1"/>
    <sheet name="FI benchmark" sheetId="5" r:id="rId2"/>
    <sheet name="Equity benchmark" sheetId="6" r:id="rId3"/>
    <sheet name="Pivot" sheetId="3" r:id="rId4"/>
    <sheet name="Sheet1" sheetId="4" r:id="rId5"/>
  </sheets>
  <definedNames>
    <definedName name="_xlnm._FilterDatabase" localSheetId="0" hidden="1">Holdings!$A$1:$O$54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3" i="4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2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3" i="1"/>
  <c r="J10" i="3"/>
  <c r="J8" i="3"/>
  <c r="J7" i="3"/>
</calcChain>
</file>

<file path=xl/sharedStrings.xml><?xml version="1.0" encoding="utf-8"?>
<sst xmlns="http://schemas.openxmlformats.org/spreadsheetml/2006/main" count="740" uniqueCount="121">
  <si>
    <t>Security</t>
  </si>
  <si>
    <t>Rating</t>
  </si>
  <si>
    <t>Maturity</t>
  </si>
  <si>
    <t>Apple 2027 Bond</t>
  </si>
  <si>
    <t>Microsoft 2028 Bond</t>
  </si>
  <si>
    <t>JPMorgan 2026 Bond</t>
  </si>
  <si>
    <t>Verizon 2029 Bond</t>
  </si>
  <si>
    <t>Pfizer 2030 Bond</t>
  </si>
  <si>
    <t>Walmart 2027 Bond</t>
  </si>
  <si>
    <t>Chevron 2029 Bond</t>
  </si>
  <si>
    <t>Caterpillar 2028 Bond</t>
  </si>
  <si>
    <t>Boeing 2030 Bond</t>
  </si>
  <si>
    <t>Procter &amp; Gamble 2026 Bond</t>
  </si>
  <si>
    <t>Johnson &amp; Johnson 2027 Bond</t>
  </si>
  <si>
    <t>Oracle 2028 Bond</t>
  </si>
  <si>
    <t>Intel 2029 Bond</t>
  </si>
  <si>
    <t>Union Pacific 2030 Bond</t>
  </si>
  <si>
    <t>Goldman Sachs 2026 Bond</t>
  </si>
  <si>
    <t>ExxonMobil 2027 Bond</t>
  </si>
  <si>
    <t>Netflix 2029 Bond</t>
  </si>
  <si>
    <t>Visa 2028 Bond</t>
  </si>
  <si>
    <t>Amgen 2027 Bond</t>
  </si>
  <si>
    <t>3M 2030 Bond</t>
  </si>
  <si>
    <t>Coupon</t>
  </si>
  <si>
    <t>Position Type</t>
  </si>
  <si>
    <t>Bond</t>
  </si>
  <si>
    <t>Call date</t>
  </si>
  <si>
    <t>AA</t>
  </si>
  <si>
    <t>AAA</t>
  </si>
  <si>
    <t>A</t>
  </si>
  <si>
    <t>BBB</t>
  </si>
  <si>
    <t>Payment_Frequency</t>
  </si>
  <si>
    <t>Quarterly</t>
  </si>
  <si>
    <t>Issue type</t>
  </si>
  <si>
    <t>Corp</t>
  </si>
  <si>
    <t>US Treasury 4.125% 2029</t>
  </si>
  <si>
    <t>Gov</t>
  </si>
  <si>
    <t>NA</t>
  </si>
  <si>
    <t>US Tbill June 2026</t>
  </si>
  <si>
    <t>Ticker</t>
  </si>
  <si>
    <t>Quantity</t>
  </si>
  <si>
    <t>Market value</t>
  </si>
  <si>
    <t>Currency</t>
  </si>
  <si>
    <t>USD</t>
  </si>
  <si>
    <t>NVIDIA CORP</t>
  </si>
  <si>
    <t>Equity</t>
  </si>
  <si>
    <t>APPLE INC</t>
  </si>
  <si>
    <t>ALPHABET INC CL A</t>
  </si>
  <si>
    <t>MICROSOFT CORP</t>
  </si>
  <si>
    <t>AMAZON.COM INC</t>
  </si>
  <si>
    <t>META PLATFORMS INC CLASS A</t>
  </si>
  <si>
    <t>BROADCOM INC</t>
  </si>
  <si>
    <t>JPMORGAN CHASE + CO</t>
  </si>
  <si>
    <t>HOME DEPOT INC</t>
  </si>
  <si>
    <t>ELI LILLY + CO</t>
  </si>
  <si>
    <t>PARKER HANNIFIN CORP</t>
  </si>
  <si>
    <t>S+P GLOBAL INC</t>
  </si>
  <si>
    <t>VISA INC CLASS A SHARES</t>
  </si>
  <si>
    <t>EMERSON ELECTRIC CO</t>
  </si>
  <si>
    <t>BANK OF AMERICA CORP</t>
  </si>
  <si>
    <t>LINDE PLC</t>
  </si>
  <si>
    <t>NEXTERA ENERGY INC</t>
  </si>
  <si>
    <t>INTERCONTINENTAL EXCHANGE IN</t>
  </si>
  <si>
    <t>APPLIED MATERIALS INC</t>
  </si>
  <si>
    <t>ADVANCED MICRO DEVICES</t>
  </si>
  <si>
    <t>BERKSHIRE HATHAWAY INC CL B</t>
  </si>
  <si>
    <t>UBER TECHNOLOGIES INC</t>
  </si>
  <si>
    <t>JOHNSON + JOHNSON</t>
  </si>
  <si>
    <t>WABTEC CORP</t>
  </si>
  <si>
    <t>WALMART INC</t>
  </si>
  <si>
    <t>WASTE MANAGEMENT INC</t>
  </si>
  <si>
    <t>EXXON MOBIL CORP</t>
  </si>
  <si>
    <t>SEMPRA</t>
  </si>
  <si>
    <t>MARTIN MARIETTA MATERIALS</t>
  </si>
  <si>
    <t>EQUINIX INC</t>
  </si>
  <si>
    <t>NVDA</t>
  </si>
  <si>
    <t>AAPL</t>
  </si>
  <si>
    <t>GOOGL</t>
  </si>
  <si>
    <t>MSFT</t>
  </si>
  <si>
    <t>AMZN</t>
  </si>
  <si>
    <t>META</t>
  </si>
  <si>
    <t>AVGO</t>
  </si>
  <si>
    <t>JPM</t>
  </si>
  <si>
    <t>HD</t>
  </si>
  <si>
    <t>LLY</t>
  </si>
  <si>
    <t>PH</t>
  </si>
  <si>
    <t>SPGI</t>
  </si>
  <si>
    <t>V</t>
  </si>
  <si>
    <t>EMR</t>
  </si>
  <si>
    <t>BAC</t>
  </si>
  <si>
    <t>LIN</t>
  </si>
  <si>
    <t>NEE</t>
  </si>
  <si>
    <t>ICE</t>
  </si>
  <si>
    <t>AMAT</t>
  </si>
  <si>
    <t>AMD</t>
  </si>
  <si>
    <t>BRK.B</t>
  </si>
  <si>
    <t>UBER</t>
  </si>
  <si>
    <t>JNJ</t>
  </si>
  <si>
    <t>WAB</t>
  </si>
  <si>
    <t>WMT</t>
  </si>
  <si>
    <t>WM</t>
  </si>
  <si>
    <t>XOM</t>
  </si>
  <si>
    <t>SRE</t>
  </si>
  <si>
    <t>MLM</t>
  </si>
  <si>
    <t>EQIX</t>
  </si>
  <si>
    <t>Issue date</t>
  </si>
  <si>
    <r>
      <t>Semi</t>
    </r>
    <r>
      <rPr>
        <sz val="11"/>
        <color rgb="FF14181F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>annual</t>
    </r>
  </si>
  <si>
    <t>Row Labels</t>
  </si>
  <si>
    <t>(blank)</t>
  </si>
  <si>
    <t>Grand Total</t>
  </si>
  <si>
    <t>Sum of Quantity</t>
  </si>
  <si>
    <t>Asset class</t>
  </si>
  <si>
    <t>Cash</t>
  </si>
  <si>
    <t>Sum of Market value</t>
  </si>
  <si>
    <t>Position type weight</t>
  </si>
  <si>
    <t>Original Order</t>
  </si>
  <si>
    <t>Randomized Order</t>
  </si>
  <si>
    <t>Row Index</t>
  </si>
  <si>
    <t>New Randomized Value</t>
  </si>
  <si>
    <t>Total Sum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</si>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</sst>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0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4181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left"/>
    </xf>
    <xf numFmtId="165" fontId="0" fillId="2" borderId="0" xfId="0" applyNumberForma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0" fontId="5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Sharma" refreshedDate="46061.821833217589" createdVersion="8" refreshedVersion="8" minRefreshableVersion="3" recordCount="54" xr:uid="{E67021DD-15EE-4F16-AAFE-93E4A6F00933}">
  <cacheSource type="worksheet">
    <worksheetSource ref="A1:O1048576" sheet="Holdings"/>
  </cacheSource>
  <cacheFields count="14">
    <cacheField name="Security" numFmtId="0">
      <sharedItems containsBlank="1"/>
    </cacheField>
    <cacheField name="Position Type" numFmtId="0">
      <sharedItems containsBlank="1"/>
    </cacheField>
    <cacheField name="Issue type" numFmtId="0">
      <sharedItems containsBlank="1"/>
    </cacheField>
    <cacheField name="Asset class" numFmtId="0">
      <sharedItems containsBlank="1" count="4">
        <s v="Bond"/>
        <s v="Cash"/>
        <s v="Equity"/>
        <m/>
      </sharedItems>
    </cacheField>
    <cacheField name="Ticker" numFmtId="0">
      <sharedItems containsBlank="1"/>
    </cacheField>
    <cacheField name="Quantity" numFmtId="0">
      <sharedItems containsString="0" containsBlank="1" containsNumber="1" containsInteger="1" minValue="647" maxValue="4200000"/>
    </cacheField>
    <cacheField name="Market value" numFmtId="0">
      <sharedItems containsString="0" containsBlank="1" containsNumber="1" minValue="522491.32" maxValue="4902017.5999999996"/>
    </cacheField>
    <cacheField name="Currency" numFmtId="0">
      <sharedItems containsBlank="1"/>
    </cacheField>
    <cacheField name="Rating" numFmtId="0">
      <sharedItems containsBlank="1"/>
    </cacheField>
    <cacheField name="Issue date" numFmtId="0">
      <sharedItems containsNonDate="0" containsDate="1" containsString="0" containsBlank="1" minDate="2025-01-01T00:00:00" maxDate="2025-01-02T00:00:00"/>
    </cacheField>
    <cacheField name="Maturity" numFmtId="0">
      <sharedItems containsNonDate="0" containsDate="1" containsString="0" containsBlank="1" minDate="2026-04-01T00:00:00" maxDate="2030-10-02T00:00:00"/>
    </cacheField>
    <cacheField name="Call date" numFmtId="0">
      <sharedItems containsNonDate="0" containsDate="1" containsString="0" containsBlank="1" minDate="2027-03-01T00:00:00" maxDate="2029-09-12T00:00:00"/>
    </cacheField>
    <cacheField name="Payment_Frequency" numFmtId="0">
      <sharedItems containsBlank="1"/>
    </cacheField>
    <cacheField name="Coupon" numFmtId="0">
      <sharedItems containsBlank="1" containsMixedTypes="1" containsNumber="1" minValue="2.95" maxValue="7.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US Treasury 4.125% 2029"/>
    <s v="Bond"/>
    <s v="Gov"/>
    <x v="0"/>
    <m/>
    <n v="2100000"/>
    <m/>
    <s v="USD"/>
    <s v="AAA"/>
    <d v="2025-01-01T00:00:00"/>
    <d v="2029-11-15T00:00:00"/>
    <m/>
    <s v="Semi-annual"/>
    <n v="4.125"/>
  </r>
  <r>
    <s v="US Tbill June 2026"/>
    <s v="Bond"/>
    <s v="Gov"/>
    <x v="1"/>
    <m/>
    <n v="4200000"/>
    <m/>
    <s v="USD"/>
    <s v="AAA"/>
    <d v="2025-01-01T00:00:00"/>
    <d v="2026-05-06T00:00:00"/>
    <m/>
    <s v="NA"/>
    <s v="NA"/>
  </r>
  <r>
    <s v="Apple 2027 Bond"/>
    <s v="Bond"/>
    <s v="Corp"/>
    <x v="0"/>
    <m/>
    <n v="840000"/>
    <m/>
    <s v="USD"/>
    <s v="AA"/>
    <d v="2025-01-01T00:00:00"/>
    <d v="2027-05-06T00:00:00"/>
    <m/>
    <s v="Semi-annual"/>
    <n v="3.2"/>
  </r>
  <r>
    <s v="Microsoft 2028 Bond"/>
    <s v="Bond"/>
    <s v="Corp"/>
    <x v="0"/>
    <m/>
    <n v="840000"/>
    <m/>
    <s v="USD"/>
    <s v="AAA"/>
    <d v="2025-01-01T00:00:00"/>
    <d v="2028-02-12T00:00:00"/>
    <m/>
    <s v="Semi-annual"/>
    <n v="3.125"/>
  </r>
  <r>
    <s v="JPMorgan 2026 Bond"/>
    <s v="Bond"/>
    <s v="Corp"/>
    <x v="0"/>
    <m/>
    <n v="840000"/>
    <m/>
    <s v="USD"/>
    <s v="A"/>
    <d v="2025-01-01T00:00:00"/>
    <d v="2026-06-15T00:00:00"/>
    <m/>
    <s v="Semi-annual"/>
    <n v="3.2"/>
  </r>
  <r>
    <s v="Verizon 2029 Bond"/>
    <s v="Bond"/>
    <s v="Corp"/>
    <x v="0"/>
    <m/>
    <n v="840000"/>
    <m/>
    <s v="USD"/>
    <s v="BBB"/>
    <d v="2025-01-01T00:00:00"/>
    <d v="2029-11-20T00:00:00"/>
    <m/>
    <s v="Semi-annual"/>
    <n v="7.85"/>
  </r>
  <r>
    <s v="Pfizer 2030 Bond"/>
    <s v="Bond"/>
    <s v="Corp"/>
    <x v="0"/>
    <m/>
    <n v="840000"/>
    <m/>
    <s v="USD"/>
    <s v="A"/>
    <d v="2025-01-01T00:00:00"/>
    <d v="2030-09-10T00:00:00"/>
    <d v="2029-09-11T00:00:00"/>
    <s v="Semi-annual"/>
    <n v="4.6399999999999997"/>
  </r>
  <r>
    <s v="Walmart 2027 Bond"/>
    <s v="Bond"/>
    <s v="Corp"/>
    <x v="0"/>
    <m/>
    <n v="840000"/>
    <m/>
    <s v="USD"/>
    <s v="AA"/>
    <d v="2025-01-01T00:00:00"/>
    <d v="2027-09-15T00:00:00"/>
    <m/>
    <s v="Quarterly"/>
    <n v="3.95"/>
  </r>
  <r>
    <s v="Chevron 2029 Bond"/>
    <s v="Bond"/>
    <s v="Corp"/>
    <x v="0"/>
    <m/>
    <n v="840000"/>
    <m/>
    <s v="USD"/>
    <s v="AA"/>
    <d v="2025-01-01T00:00:00"/>
    <d v="2029-03-01T00:00:00"/>
    <d v="2027-03-01T00:00:00"/>
    <s v="Quarterly"/>
    <n v="3.25"/>
  </r>
  <r>
    <s v="Caterpillar 2028 Bond"/>
    <s v="Bond"/>
    <s v="Corp"/>
    <x v="0"/>
    <m/>
    <n v="840000"/>
    <m/>
    <s v="USD"/>
    <s v="A"/>
    <d v="2025-01-01T00:00:00"/>
    <d v="2028-10-30T00:00:00"/>
    <m/>
    <s v="Quarterly"/>
    <n v="4.62"/>
  </r>
  <r>
    <s v="Boeing 2030 Bond"/>
    <s v="Bond"/>
    <s v="Corp"/>
    <x v="0"/>
    <m/>
    <n v="840000"/>
    <m/>
    <s v="USD"/>
    <s v="BBB"/>
    <d v="2025-01-01T00:00:00"/>
    <d v="2030-08-15T00:00:00"/>
    <d v="2029-02-15T00:00:00"/>
    <s v="Quarterly"/>
    <n v="5.15"/>
  </r>
  <r>
    <s v="Procter &amp; Gamble 2026 Bond"/>
    <s v="Bond"/>
    <s v="Corp"/>
    <x v="0"/>
    <m/>
    <n v="840000"/>
    <m/>
    <s v="USD"/>
    <s v="AA"/>
    <d v="2025-01-01T00:00:00"/>
    <d v="2026-04-01T00:00:00"/>
    <m/>
    <s v="Quarterly"/>
    <n v="3.25"/>
  </r>
  <r>
    <s v="Johnson &amp; Johnson 2027 Bond"/>
    <s v="Bond"/>
    <s v="Corp"/>
    <x v="0"/>
    <m/>
    <n v="840000"/>
    <m/>
    <s v="USD"/>
    <s v="AAA"/>
    <d v="2025-01-01T00:00:00"/>
    <d v="2027-01-15T00:00:00"/>
    <m/>
    <s v="Quarterly"/>
    <n v="2.95"/>
  </r>
  <r>
    <s v="Oracle 2028 Bond"/>
    <s v="Bond"/>
    <s v="Corp"/>
    <x v="0"/>
    <m/>
    <n v="840000"/>
    <m/>
    <s v="USD"/>
    <s v="A"/>
    <d v="2025-01-01T00:00:00"/>
    <d v="2028-12-01T00:00:00"/>
    <m/>
    <s v="Quarterly"/>
    <n v="2.95"/>
  </r>
  <r>
    <s v="Intel 2029 Bond"/>
    <s v="Bond"/>
    <s v="Corp"/>
    <x v="0"/>
    <m/>
    <n v="840000"/>
    <m/>
    <s v="USD"/>
    <s v="A"/>
    <d v="2025-01-01T00:00:00"/>
    <d v="2029-07-20T00:00:00"/>
    <m/>
    <s v="Semi-annual"/>
    <n v="4.6399999999999997"/>
  </r>
  <r>
    <s v="Union Pacific 2030 Bond"/>
    <s v="Bond"/>
    <s v="Corp"/>
    <x v="0"/>
    <m/>
    <n v="840000"/>
    <m/>
    <s v="USD"/>
    <s v="A"/>
    <d v="2025-01-01T00:00:00"/>
    <d v="2030-10-01T00:00:00"/>
    <m/>
    <s v="Semi-annual"/>
    <n v="3.95"/>
  </r>
  <r>
    <s v="Goldman Sachs 2026 Bond"/>
    <s v="Bond"/>
    <s v="Corp"/>
    <x v="0"/>
    <m/>
    <n v="840000"/>
    <m/>
    <s v="USD"/>
    <s v="A"/>
    <d v="2025-01-01T00:00:00"/>
    <d v="2026-11-01T00:00:00"/>
    <m/>
    <s v="Semi-annual"/>
    <n v="3.25"/>
  </r>
  <r>
    <s v="ExxonMobil 2027 Bond"/>
    <s v="Bond"/>
    <s v="Corp"/>
    <x v="0"/>
    <m/>
    <n v="840000"/>
    <m/>
    <s v="USD"/>
    <s v="AA"/>
    <d v="2025-01-01T00:00:00"/>
    <d v="2027-04-15T00:00:00"/>
    <m/>
    <s v="Semi-annual"/>
    <n v="4.62"/>
  </r>
  <r>
    <s v="Netflix 2029 Bond"/>
    <s v="Bond"/>
    <s v="Corp"/>
    <x v="0"/>
    <m/>
    <n v="840000"/>
    <m/>
    <s v="USD"/>
    <s v="BBB"/>
    <d v="2025-01-01T00:00:00"/>
    <d v="2029-06-01T00:00:00"/>
    <m/>
    <s v="Semi-annual"/>
    <n v="7.85"/>
  </r>
  <r>
    <s v="Visa 2028 Bond"/>
    <s v="Bond"/>
    <s v="Corp"/>
    <x v="0"/>
    <m/>
    <n v="840000"/>
    <m/>
    <s v="USD"/>
    <s v="A"/>
    <d v="2025-01-01T00:00:00"/>
    <d v="2028-05-15T00:00:00"/>
    <m/>
    <s v="Semi-annual"/>
    <n v="3.25"/>
  </r>
  <r>
    <s v="Amgen 2027 Bond"/>
    <s v="Bond"/>
    <s v="Corp"/>
    <x v="0"/>
    <m/>
    <n v="840000"/>
    <m/>
    <s v="USD"/>
    <s v="A"/>
    <d v="2025-01-01T00:00:00"/>
    <d v="2027-09-10T00:00:00"/>
    <m/>
    <s v="Semi-annual"/>
    <n v="2.95"/>
  </r>
  <r>
    <s v="3M 2030 Bond"/>
    <s v="Bond"/>
    <s v="Corp"/>
    <x v="0"/>
    <m/>
    <n v="840000"/>
    <m/>
    <s v="USD"/>
    <s v="A"/>
    <d v="2025-01-01T00:00:00"/>
    <d v="2030-03-01T00:00:00"/>
    <m/>
    <s v="Semi-annual"/>
    <n v="2.95"/>
  </r>
  <r>
    <s v="Amgen 2027 Bond"/>
    <s v="Bond TRS"/>
    <s v="Corp"/>
    <x v="0"/>
    <m/>
    <n v="840000"/>
    <m/>
    <s v="USD"/>
    <s v="A"/>
    <d v="2025-01-01T00:00:00"/>
    <d v="2027-09-10T00:00:00"/>
    <m/>
    <s v="Semi-annual"/>
    <n v="2.95"/>
  </r>
  <r>
    <s v="NVIDIA CORP"/>
    <s v="Equity"/>
    <s v="Corp"/>
    <x v="2"/>
    <s v="NVDA"/>
    <n v="28520"/>
    <n v="4902017.5999999996"/>
    <s v="USD"/>
    <m/>
    <m/>
    <m/>
    <m/>
    <m/>
    <m/>
  </r>
  <r>
    <s v="APPLE INC"/>
    <s v="Equity"/>
    <s v="Corp"/>
    <x v="2"/>
    <s v="AAPL"/>
    <n v="13398"/>
    <n v="3696642.18"/>
    <s v="USD"/>
    <m/>
    <m/>
    <m/>
    <m/>
    <m/>
    <m/>
  </r>
  <r>
    <s v="ALPHABET INC CL A"/>
    <s v="Equity"/>
    <s v="Corp"/>
    <x v="2"/>
    <s v="GOOGL"/>
    <n v="10873"/>
    <n v="3601681.25"/>
    <s v="USD"/>
    <m/>
    <m/>
    <m/>
    <m/>
    <m/>
    <m/>
  </r>
  <r>
    <s v="MICROSOFT CORP"/>
    <s v="Equity"/>
    <s v="Corp"/>
    <x v="2"/>
    <s v="MSFT"/>
    <n v="9144"/>
    <n v="3599718.48"/>
    <s v="USD"/>
    <m/>
    <m/>
    <m/>
    <m/>
    <m/>
    <m/>
  </r>
  <r>
    <s v="AMAZON.COM INC"/>
    <s v="Equity"/>
    <s v="Corp"/>
    <x v="2"/>
    <s v="AMZN"/>
    <n v="11589"/>
    <n v="2580754.41"/>
    <s v="USD"/>
    <m/>
    <m/>
    <m/>
    <m/>
    <m/>
    <m/>
  </r>
  <r>
    <s v="META PLATFORMS INC CLASS A"/>
    <s v="Equity"/>
    <s v="Corp"/>
    <x v="2"/>
    <s v="META"/>
    <n v="2975"/>
    <n v="1993874.75"/>
    <s v="USD"/>
    <m/>
    <m/>
    <m/>
    <m/>
    <m/>
    <m/>
  </r>
  <r>
    <s v="BROADCOM INC"/>
    <s v="Equity"/>
    <s v="Corp"/>
    <x v="2"/>
    <s v="AVGO"/>
    <n v="5854"/>
    <n v="1817725.54"/>
    <s v="USD"/>
    <m/>
    <m/>
    <m/>
    <m/>
    <m/>
    <m/>
  </r>
  <r>
    <s v="JPMORGAN CHASE + CO"/>
    <s v="Equity"/>
    <s v="Corp"/>
    <x v="2"/>
    <s v="JPM"/>
    <n v="3638"/>
    <n v="1128362.08"/>
    <s v="USD"/>
    <m/>
    <m/>
    <m/>
    <m/>
    <m/>
    <m/>
  </r>
  <r>
    <s v="HOME DEPOT INC"/>
    <s v="Equity"/>
    <s v="Corp"/>
    <x v="2"/>
    <s v="HD"/>
    <n v="2499"/>
    <n v="955542.63"/>
    <s v="USD"/>
    <m/>
    <m/>
    <m/>
    <m/>
    <m/>
    <m/>
  </r>
  <r>
    <s v="ELI LILLY + CO"/>
    <s v="Equity"/>
    <s v="Corp"/>
    <x v="2"/>
    <s v="LLY"/>
    <n v="871"/>
    <n v="889151.64"/>
    <s v="USD"/>
    <m/>
    <m/>
    <m/>
    <m/>
    <m/>
    <m/>
  </r>
  <r>
    <s v="PARKER HANNIFIN CORP"/>
    <s v="Equity"/>
    <s v="Corp"/>
    <x v="2"/>
    <s v="PH"/>
    <n v="882"/>
    <n v="851853.24"/>
    <s v="USD"/>
    <m/>
    <m/>
    <m/>
    <m/>
    <m/>
    <m/>
  </r>
  <r>
    <s v="S+P GLOBAL INC"/>
    <s v="Equity"/>
    <s v="Corp"/>
    <x v="2"/>
    <s v="SPGI"/>
    <n v="1879"/>
    <n v="848763.09"/>
    <s v="USD"/>
    <m/>
    <m/>
    <m/>
    <m/>
    <m/>
    <m/>
  </r>
  <r>
    <s v="VISA INC CLASS A SHARES"/>
    <s v="Equity"/>
    <s v="Corp"/>
    <x v="2"/>
    <s v="V"/>
    <n v="2542"/>
    <n v="836648.46"/>
    <s v="USD"/>
    <m/>
    <m/>
    <m/>
    <m/>
    <m/>
    <m/>
  </r>
  <r>
    <s v="EMERSON ELECTRIC CO"/>
    <s v="Equity"/>
    <s v="Corp"/>
    <x v="2"/>
    <s v="EMR"/>
    <n v="5106"/>
    <n v="770699.64"/>
    <s v="USD"/>
    <m/>
    <m/>
    <m/>
    <m/>
    <m/>
    <m/>
  </r>
  <r>
    <s v="BANK OF AMERICA CORP"/>
    <s v="Equity"/>
    <s v="Corp"/>
    <x v="2"/>
    <s v="BAC"/>
    <n v="13453"/>
    <n v="739107.82"/>
    <s v="USD"/>
    <m/>
    <m/>
    <m/>
    <m/>
    <m/>
    <m/>
  </r>
  <r>
    <s v="LINDE PLC"/>
    <s v="Equity"/>
    <s v="Corp"/>
    <x v="2"/>
    <s v="LIN"/>
    <n v="1598"/>
    <n v="734584.62"/>
    <s v="USD"/>
    <m/>
    <m/>
    <m/>
    <m/>
    <m/>
    <m/>
  </r>
  <r>
    <s v="NEXTERA ENERGY INC"/>
    <s v="Equity"/>
    <s v="Corp"/>
    <x v="2"/>
    <s v="NEE"/>
    <n v="8130"/>
    <n v="725277.3"/>
    <s v="USD"/>
    <m/>
    <m/>
    <m/>
    <m/>
    <m/>
    <m/>
  </r>
  <r>
    <s v="INTERCONTINENTAL EXCHANGE IN"/>
    <s v="Equity"/>
    <s v="Corp"/>
    <x v="2"/>
    <s v="ICE"/>
    <n v="4210"/>
    <n v="708500.9"/>
    <s v="USD"/>
    <m/>
    <m/>
    <m/>
    <m/>
    <m/>
    <m/>
  </r>
  <r>
    <s v="APPLIED MATERIALS INC"/>
    <s v="Equity"/>
    <s v="Corp"/>
    <x v="2"/>
    <s v="AMAT"/>
    <n v="2236"/>
    <n v="679721.64"/>
    <s v="USD"/>
    <m/>
    <m/>
    <m/>
    <m/>
    <m/>
    <m/>
  </r>
  <r>
    <s v="ADVANCED MICRO DEVICES"/>
    <s v="Equity"/>
    <s v="Corp"/>
    <x v="2"/>
    <s v="AMD"/>
    <n v="3511"/>
    <n v="675867.5"/>
    <s v="USD"/>
    <m/>
    <m/>
    <m/>
    <m/>
    <m/>
    <m/>
  </r>
  <r>
    <s v="BERKSHIRE HATHAWAY INC CL B"/>
    <s v="Equity"/>
    <s v="Corp"/>
    <x v="2"/>
    <s v="BRK.B"/>
    <n v="1302"/>
    <n v="656064.78"/>
    <s v="USD"/>
    <m/>
    <m/>
    <m/>
    <m/>
    <m/>
    <m/>
  </r>
  <r>
    <s v="UBER TECHNOLOGIES INC"/>
    <s v="Equity"/>
    <s v="Corp"/>
    <x v="2"/>
    <s v="UBER"/>
    <n v="8600"/>
    <n v="646806"/>
    <s v="USD"/>
    <m/>
    <m/>
    <m/>
    <m/>
    <m/>
    <m/>
  </r>
  <r>
    <s v="JOHNSON + JOHNSON"/>
    <s v="Equity"/>
    <s v="Corp"/>
    <x v="2"/>
    <s v="JNJ"/>
    <n v="2715"/>
    <n v="645599.85"/>
    <s v="USD"/>
    <m/>
    <m/>
    <m/>
    <m/>
    <m/>
    <m/>
  </r>
  <r>
    <s v="WABTEC CORP"/>
    <s v="Equity"/>
    <s v="Corp"/>
    <x v="2"/>
    <s v="WAB"/>
    <n v="2679"/>
    <n v="643281.48"/>
    <s v="USD"/>
    <m/>
    <m/>
    <m/>
    <m/>
    <m/>
    <m/>
  </r>
  <r>
    <s v="WALMART INC"/>
    <s v="Equity"/>
    <s v="Corp"/>
    <x v="2"/>
    <s v="WMT"/>
    <n v="4891"/>
    <n v="620863.54"/>
    <s v="USD"/>
    <m/>
    <m/>
    <m/>
    <m/>
    <m/>
    <m/>
  </r>
  <r>
    <s v="WASTE MANAGEMENT INC"/>
    <s v="Equity"/>
    <s v="Corp"/>
    <x v="2"/>
    <s v="WM"/>
    <n v="2687"/>
    <n v="608874.19999999995"/>
    <s v="USD"/>
    <m/>
    <m/>
    <m/>
    <m/>
    <m/>
    <m/>
  </r>
  <r>
    <s v="EXXON MOBIL CORP"/>
    <s v="Equity"/>
    <s v="Corp"/>
    <x v="2"/>
    <s v="XOM"/>
    <n v="3887"/>
    <n v="567812.96"/>
    <s v="USD"/>
    <m/>
    <m/>
    <m/>
    <m/>
    <m/>
    <m/>
  </r>
  <r>
    <s v="SEMPRA"/>
    <s v="Equity"/>
    <s v="Corp"/>
    <x v="2"/>
    <s v="SRE"/>
    <n v="6525"/>
    <n v="565456.5"/>
    <s v="USD"/>
    <m/>
    <m/>
    <m/>
    <m/>
    <m/>
    <m/>
  </r>
  <r>
    <s v="MARTIN MARIETTA MATERIALS"/>
    <s v="Equity"/>
    <s v="Corp"/>
    <x v="2"/>
    <s v="MLM"/>
    <n v="810"/>
    <n v="543469.5"/>
    <s v="USD"/>
    <m/>
    <m/>
    <m/>
    <m/>
    <m/>
    <m/>
  </r>
  <r>
    <s v="EQUINIX INC"/>
    <s v="Equity"/>
    <s v="Corp"/>
    <x v="2"/>
    <s v="EQIX"/>
    <n v="647"/>
    <n v="522491.32"/>
    <s v="USD"/>
    <m/>
    <m/>
    <m/>
    <m/>
    <m/>
    <m/>
  </r>
  <r>
    <m/>
    <m/>
    <m/>
    <x v="3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20C63-304E-44E7-9E35-0699D5B673B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4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Market val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E96D-2140-4180-9FDA-316C4631C0C3}">
  <dimension ref="A1:O54"/>
  <sheetViews>
    <sheetView workbookViewId="0">
      <pane ySplit="1" topLeftCell="A24" activePane="bottomLeft" state="frozen"/>
      <selection pane="bottomLeft" activeCell="D25" sqref="D25:D54"/>
    </sheetView>
  </sheetViews>
  <sheetFormatPr defaultColWidth="13.6328125" defaultRowHeight="25.75" customHeight="1" x14ac:dyDescent="0.35"/>
  <cols>
    <col min="1" max="1" width="29.36328125" bestFit="1" customWidth="1"/>
    <col min="2" max="2" width="11.90625" bestFit="1" customWidth="1"/>
    <col min="3" max="3" width="9.26953125" bestFit="1" customWidth="1"/>
    <col min="4" max="4" width="10.08984375" bestFit="1" customWidth="1"/>
    <col min="5" max="5" width="7" bestFit="1" customWidth="1"/>
    <col min="6" max="6" width="9.36328125" bestFit="1" customWidth="1"/>
    <col min="7" max="7" width="9.36328125" customWidth="1"/>
    <col min="8" max="8" width="15.453125" bestFit="1" customWidth="1"/>
    <col min="9" max="9" width="8.453125" bestFit="1" customWidth="1"/>
    <col min="10" max="10" width="6.1796875" bestFit="1" customWidth="1"/>
    <col min="11" max="13" width="10.08984375" bestFit="1" customWidth="1"/>
    <col min="14" max="14" width="12.7265625" bestFit="1" customWidth="1"/>
    <col min="15" max="15" width="7.36328125" bestFit="1" customWidth="1"/>
  </cols>
  <sheetData>
    <row r="1" spans="1:15" ht="38.4" customHeight="1" x14ac:dyDescent="0.35">
      <c r="A1" s="1" t="s">
        <v>0</v>
      </c>
      <c r="B1" s="1" t="s">
        <v>24</v>
      </c>
      <c r="C1" s="1" t="s">
        <v>33</v>
      </c>
      <c r="D1" s="1" t="s">
        <v>111</v>
      </c>
      <c r="E1" s="1" t="s">
        <v>39</v>
      </c>
      <c r="F1" s="1" t="s">
        <v>40</v>
      </c>
      <c r="G1" s="1" t="s">
        <v>120</v>
      </c>
      <c r="H1" s="1" t="s">
        <v>41</v>
      </c>
      <c r="I1" s="1" t="s">
        <v>42</v>
      </c>
      <c r="J1" s="1" t="s">
        <v>1</v>
      </c>
      <c r="K1" s="1" t="s">
        <v>105</v>
      </c>
      <c r="L1" s="1" t="s">
        <v>2</v>
      </c>
      <c r="M1" s="1" t="s">
        <v>26</v>
      </c>
      <c r="N1" s="1" t="s">
        <v>31</v>
      </c>
      <c r="O1" s="1" t="s">
        <v>23</v>
      </c>
    </row>
    <row r="2" spans="1:15" ht="38.4" customHeight="1" x14ac:dyDescent="0.35">
      <c r="A2" s="2" t="s">
        <v>112</v>
      </c>
      <c r="B2" s="3" t="s">
        <v>112</v>
      </c>
      <c r="C2" s="3" t="s">
        <v>112</v>
      </c>
      <c r="D2" s="3" t="s">
        <v>112</v>
      </c>
      <c r="E2" s="3"/>
      <c r="F2" s="3">
        <v>3000000</v>
      </c>
      <c r="G2" s="3">
        <v>1</v>
      </c>
      <c r="H2" s="3"/>
      <c r="I2" s="3" t="s">
        <v>43</v>
      </c>
      <c r="J2" s="3"/>
      <c r="K2" s="4"/>
      <c r="L2" s="4"/>
      <c r="M2" s="2"/>
    </row>
    <row r="3" spans="1:15" ht="38.4" customHeight="1" x14ac:dyDescent="0.35">
      <c r="A3" s="2" t="s">
        <v>38</v>
      </c>
      <c r="B3" s="3" t="s">
        <v>25</v>
      </c>
      <c r="C3" s="3" t="s">
        <v>36</v>
      </c>
      <c r="D3" s="3" t="s">
        <v>112</v>
      </c>
      <c r="E3" s="3"/>
      <c r="F3" s="3">
        <v>4200000</v>
      </c>
      <c r="G3" s="3">
        <f>F3/SUM(F$3:F$24)</f>
        <v>0.18181818181818182</v>
      </c>
      <c r="H3" s="3"/>
      <c r="I3" s="3" t="s">
        <v>43</v>
      </c>
      <c r="J3" s="3" t="s">
        <v>28</v>
      </c>
      <c r="K3" s="4">
        <v>45658</v>
      </c>
      <c r="L3" s="4">
        <v>46148</v>
      </c>
      <c r="M3" s="2"/>
      <c r="N3" t="s">
        <v>37</v>
      </c>
      <c r="O3">
        <v>0</v>
      </c>
    </row>
    <row r="4" spans="1:15" ht="38.4" customHeight="1" x14ac:dyDescent="0.35">
      <c r="A4" s="2" t="s">
        <v>35</v>
      </c>
      <c r="B4" s="3" t="s">
        <v>25</v>
      </c>
      <c r="C4" s="3" t="s">
        <v>36</v>
      </c>
      <c r="D4" s="3" t="s">
        <v>25</v>
      </c>
      <c r="E4" s="3"/>
      <c r="F4" s="3">
        <v>2100000</v>
      </c>
      <c r="G4" s="3">
        <f t="shared" ref="G4:G24" si="0">F4/SUM(F$3:F$24)</f>
        <v>9.0909090909090912E-2</v>
      </c>
      <c r="H4" s="3"/>
      <c r="I4" s="3" t="s">
        <v>43</v>
      </c>
      <c r="J4" s="3" t="s">
        <v>28</v>
      </c>
      <c r="K4" s="4">
        <v>45658</v>
      </c>
      <c r="L4" s="4">
        <v>47437</v>
      </c>
      <c r="M4" s="2"/>
      <c r="N4" t="s">
        <v>106</v>
      </c>
      <c r="O4">
        <v>4.125</v>
      </c>
    </row>
    <row r="5" spans="1:15" ht="38.4" customHeight="1" x14ac:dyDescent="0.35">
      <c r="A5" s="3" t="s">
        <v>3</v>
      </c>
      <c r="B5" s="3" t="s">
        <v>25</v>
      </c>
      <c r="C5" s="3" t="s">
        <v>34</v>
      </c>
      <c r="D5" s="3" t="s">
        <v>25</v>
      </c>
      <c r="E5" s="3"/>
      <c r="F5" s="3">
        <v>840000</v>
      </c>
      <c r="G5" s="3">
        <f t="shared" si="0"/>
        <v>3.6363636363636362E-2</v>
      </c>
      <c r="H5" s="3"/>
      <c r="I5" s="3" t="s">
        <v>43</v>
      </c>
      <c r="J5" s="3" t="s">
        <v>27</v>
      </c>
      <c r="K5" s="4">
        <v>45658</v>
      </c>
      <c r="L5" s="4">
        <v>46513</v>
      </c>
      <c r="M5" s="4"/>
      <c r="N5" t="s">
        <v>106</v>
      </c>
      <c r="O5">
        <v>3.2</v>
      </c>
    </row>
    <row r="6" spans="1:15" ht="38.4" customHeight="1" x14ac:dyDescent="0.35">
      <c r="A6" s="3" t="s">
        <v>4</v>
      </c>
      <c r="B6" s="3" t="s">
        <v>25</v>
      </c>
      <c r="C6" s="3" t="s">
        <v>34</v>
      </c>
      <c r="D6" s="3" t="s">
        <v>25</v>
      </c>
      <c r="E6" s="3"/>
      <c r="F6" s="3">
        <v>840000</v>
      </c>
      <c r="G6" s="3">
        <f t="shared" si="0"/>
        <v>3.6363636363636362E-2</v>
      </c>
      <c r="H6" s="3"/>
      <c r="I6" s="3" t="s">
        <v>43</v>
      </c>
      <c r="J6" s="3" t="s">
        <v>28</v>
      </c>
      <c r="K6" s="4">
        <v>45658</v>
      </c>
      <c r="L6" s="4">
        <v>46795</v>
      </c>
      <c r="M6" s="4"/>
      <c r="N6" t="s">
        <v>106</v>
      </c>
      <c r="O6">
        <v>3.125</v>
      </c>
    </row>
    <row r="7" spans="1:15" ht="38.4" customHeight="1" x14ac:dyDescent="0.35">
      <c r="A7" s="3" t="s">
        <v>5</v>
      </c>
      <c r="B7" s="3" t="s">
        <v>25</v>
      </c>
      <c r="C7" s="3" t="s">
        <v>34</v>
      </c>
      <c r="D7" s="3" t="s">
        <v>25</v>
      </c>
      <c r="E7" s="3"/>
      <c r="F7" s="3">
        <v>840000</v>
      </c>
      <c r="G7" s="3">
        <f t="shared" si="0"/>
        <v>3.6363636363636362E-2</v>
      </c>
      <c r="H7" s="3"/>
      <c r="I7" s="3" t="s">
        <v>43</v>
      </c>
      <c r="J7" s="3" t="s">
        <v>29</v>
      </c>
      <c r="K7" s="4">
        <v>45658</v>
      </c>
      <c r="L7" s="4">
        <v>46188</v>
      </c>
      <c r="M7" s="4"/>
      <c r="N7" t="s">
        <v>106</v>
      </c>
      <c r="O7">
        <v>3.2</v>
      </c>
    </row>
    <row r="8" spans="1:15" ht="38.4" customHeight="1" x14ac:dyDescent="0.35">
      <c r="A8" s="3" t="s">
        <v>6</v>
      </c>
      <c r="B8" s="3" t="s">
        <v>25</v>
      </c>
      <c r="C8" s="3" t="s">
        <v>34</v>
      </c>
      <c r="D8" s="3" t="s">
        <v>25</v>
      </c>
      <c r="E8" s="3"/>
      <c r="F8" s="3">
        <v>840000</v>
      </c>
      <c r="G8" s="3">
        <f t="shared" si="0"/>
        <v>3.6363636363636362E-2</v>
      </c>
      <c r="H8" s="3"/>
      <c r="I8" s="3" t="s">
        <v>43</v>
      </c>
      <c r="J8" s="3" t="s">
        <v>30</v>
      </c>
      <c r="K8" s="4">
        <v>45658</v>
      </c>
      <c r="L8" s="4">
        <v>47442</v>
      </c>
      <c r="M8" s="4"/>
      <c r="N8" t="s">
        <v>106</v>
      </c>
      <c r="O8">
        <v>7.85</v>
      </c>
    </row>
    <row r="9" spans="1:15" ht="38.4" customHeight="1" x14ac:dyDescent="0.35">
      <c r="A9" s="3" t="s">
        <v>7</v>
      </c>
      <c r="B9" s="3" t="s">
        <v>25</v>
      </c>
      <c r="C9" s="3" t="s">
        <v>34</v>
      </c>
      <c r="D9" s="3" t="s">
        <v>25</v>
      </c>
      <c r="E9" s="3"/>
      <c r="F9" s="3">
        <v>840000</v>
      </c>
      <c r="G9" s="3">
        <f t="shared" si="0"/>
        <v>3.6363636363636362E-2</v>
      </c>
      <c r="H9" s="3"/>
      <c r="I9" s="3" t="s">
        <v>43</v>
      </c>
      <c r="J9" s="3" t="s">
        <v>29</v>
      </c>
      <c r="K9" s="4">
        <v>45658</v>
      </c>
      <c r="L9" s="4">
        <v>47736</v>
      </c>
      <c r="M9" s="4">
        <v>47372</v>
      </c>
      <c r="N9" t="s">
        <v>106</v>
      </c>
      <c r="O9">
        <v>4.6399999999999997</v>
      </c>
    </row>
    <row r="10" spans="1:15" ht="38.4" customHeight="1" x14ac:dyDescent="0.35">
      <c r="A10" s="3" t="s">
        <v>8</v>
      </c>
      <c r="B10" s="3" t="s">
        <v>25</v>
      </c>
      <c r="C10" s="3" t="s">
        <v>34</v>
      </c>
      <c r="D10" s="3" t="s">
        <v>25</v>
      </c>
      <c r="E10" s="3"/>
      <c r="F10" s="3">
        <v>840000</v>
      </c>
      <c r="G10" s="3">
        <f t="shared" si="0"/>
        <v>3.6363636363636362E-2</v>
      </c>
      <c r="H10" s="3"/>
      <c r="I10" s="3" t="s">
        <v>43</v>
      </c>
      <c r="J10" s="3" t="s">
        <v>27</v>
      </c>
      <c r="K10" s="4">
        <v>45658</v>
      </c>
      <c r="L10" s="4">
        <v>46645</v>
      </c>
      <c r="M10" s="4"/>
      <c r="N10" t="s">
        <v>32</v>
      </c>
      <c r="O10">
        <v>3.95</v>
      </c>
    </row>
    <row r="11" spans="1:15" ht="38.4" customHeight="1" x14ac:dyDescent="0.35">
      <c r="A11" s="3" t="s">
        <v>9</v>
      </c>
      <c r="B11" s="3" t="s">
        <v>25</v>
      </c>
      <c r="C11" s="3" t="s">
        <v>34</v>
      </c>
      <c r="D11" s="3" t="s">
        <v>25</v>
      </c>
      <c r="E11" s="3"/>
      <c r="F11" s="3">
        <v>840000</v>
      </c>
      <c r="G11" s="3">
        <f t="shared" si="0"/>
        <v>3.6363636363636362E-2</v>
      </c>
      <c r="H11" s="3"/>
      <c r="I11" s="3" t="s">
        <v>43</v>
      </c>
      <c r="J11" s="3" t="s">
        <v>27</v>
      </c>
      <c r="K11" s="4">
        <v>45658</v>
      </c>
      <c r="L11" s="4">
        <v>47178</v>
      </c>
      <c r="M11" s="4">
        <v>46447</v>
      </c>
      <c r="N11" t="s">
        <v>32</v>
      </c>
      <c r="O11">
        <v>3.25</v>
      </c>
    </row>
    <row r="12" spans="1:15" ht="38.4" customHeight="1" x14ac:dyDescent="0.35">
      <c r="A12" s="3" t="s">
        <v>10</v>
      </c>
      <c r="B12" s="3" t="s">
        <v>25</v>
      </c>
      <c r="C12" s="3" t="s">
        <v>34</v>
      </c>
      <c r="D12" s="3" t="s">
        <v>25</v>
      </c>
      <c r="E12" s="3"/>
      <c r="F12" s="3">
        <v>840000</v>
      </c>
      <c r="G12" s="3">
        <f t="shared" si="0"/>
        <v>3.6363636363636362E-2</v>
      </c>
      <c r="H12" s="3"/>
      <c r="I12" s="3" t="s">
        <v>43</v>
      </c>
      <c r="J12" s="3" t="s">
        <v>29</v>
      </c>
      <c r="K12" s="4">
        <v>45658</v>
      </c>
      <c r="L12" s="4">
        <v>47056</v>
      </c>
      <c r="M12" s="4"/>
      <c r="N12" t="s">
        <v>32</v>
      </c>
      <c r="O12">
        <v>4.62</v>
      </c>
    </row>
    <row r="13" spans="1:15" ht="38.4" customHeight="1" x14ac:dyDescent="0.35">
      <c r="A13" s="3" t="s">
        <v>11</v>
      </c>
      <c r="B13" s="3" t="s">
        <v>25</v>
      </c>
      <c r="C13" s="3" t="s">
        <v>34</v>
      </c>
      <c r="D13" s="3" t="s">
        <v>25</v>
      </c>
      <c r="E13" s="3"/>
      <c r="F13" s="3">
        <v>840000</v>
      </c>
      <c r="G13" s="3">
        <f t="shared" si="0"/>
        <v>3.6363636363636362E-2</v>
      </c>
      <c r="H13" s="3"/>
      <c r="I13" s="3" t="s">
        <v>43</v>
      </c>
      <c r="J13" s="3" t="s">
        <v>30</v>
      </c>
      <c r="K13" s="4">
        <v>45658</v>
      </c>
      <c r="L13" s="4">
        <v>47710</v>
      </c>
      <c r="M13" s="4">
        <v>47164</v>
      </c>
      <c r="N13" t="s">
        <v>32</v>
      </c>
      <c r="O13">
        <v>5.15</v>
      </c>
    </row>
    <row r="14" spans="1:15" ht="38.4" customHeight="1" x14ac:dyDescent="0.35">
      <c r="A14" s="3" t="s">
        <v>12</v>
      </c>
      <c r="B14" s="3" t="s">
        <v>25</v>
      </c>
      <c r="C14" s="3" t="s">
        <v>34</v>
      </c>
      <c r="D14" s="3" t="s">
        <v>25</v>
      </c>
      <c r="E14" s="3"/>
      <c r="F14" s="3">
        <v>840000</v>
      </c>
      <c r="G14" s="3">
        <f t="shared" si="0"/>
        <v>3.6363636363636362E-2</v>
      </c>
      <c r="H14" s="3"/>
      <c r="I14" s="3" t="s">
        <v>43</v>
      </c>
      <c r="J14" s="3" t="s">
        <v>27</v>
      </c>
      <c r="K14" s="4">
        <v>45658</v>
      </c>
      <c r="L14" s="4">
        <v>46113</v>
      </c>
      <c r="M14" s="4"/>
      <c r="N14" t="s">
        <v>32</v>
      </c>
      <c r="O14">
        <v>3.25</v>
      </c>
    </row>
    <row r="15" spans="1:15" ht="38.4" customHeight="1" x14ac:dyDescent="0.35">
      <c r="A15" s="3" t="s">
        <v>13</v>
      </c>
      <c r="B15" s="3" t="s">
        <v>25</v>
      </c>
      <c r="C15" s="3" t="s">
        <v>34</v>
      </c>
      <c r="D15" s="3" t="s">
        <v>25</v>
      </c>
      <c r="E15" s="3"/>
      <c r="F15" s="3">
        <v>840000</v>
      </c>
      <c r="G15" s="3">
        <f t="shared" si="0"/>
        <v>3.6363636363636362E-2</v>
      </c>
      <c r="H15" s="3"/>
      <c r="I15" s="3" t="s">
        <v>43</v>
      </c>
      <c r="J15" s="3" t="s">
        <v>28</v>
      </c>
      <c r="K15" s="4">
        <v>45658</v>
      </c>
      <c r="L15" s="4">
        <v>46402</v>
      </c>
      <c r="M15" s="4"/>
      <c r="N15" t="s">
        <v>32</v>
      </c>
      <c r="O15">
        <v>2.95</v>
      </c>
    </row>
    <row r="16" spans="1:15" ht="38.4" customHeight="1" x14ac:dyDescent="0.35">
      <c r="A16" s="3" t="s">
        <v>14</v>
      </c>
      <c r="B16" s="3" t="s">
        <v>25</v>
      </c>
      <c r="C16" s="3" t="s">
        <v>34</v>
      </c>
      <c r="D16" s="3" t="s">
        <v>25</v>
      </c>
      <c r="E16" s="3"/>
      <c r="F16" s="3">
        <v>840000</v>
      </c>
      <c r="G16" s="3">
        <f t="shared" si="0"/>
        <v>3.6363636363636362E-2</v>
      </c>
      <c r="H16" s="3"/>
      <c r="I16" s="3" t="s">
        <v>43</v>
      </c>
      <c r="J16" s="3" t="s">
        <v>29</v>
      </c>
      <c r="K16" s="4">
        <v>45658</v>
      </c>
      <c r="L16" s="4">
        <v>47088</v>
      </c>
      <c r="M16" s="4"/>
      <c r="N16" t="s">
        <v>32</v>
      </c>
      <c r="O16">
        <v>2.95</v>
      </c>
    </row>
    <row r="17" spans="1:15" ht="38.4" customHeight="1" x14ac:dyDescent="0.35">
      <c r="A17" s="3" t="s">
        <v>15</v>
      </c>
      <c r="B17" s="3" t="s">
        <v>25</v>
      </c>
      <c r="C17" s="3" t="s">
        <v>34</v>
      </c>
      <c r="D17" s="3" t="s">
        <v>25</v>
      </c>
      <c r="E17" s="3"/>
      <c r="F17" s="3">
        <v>840000</v>
      </c>
      <c r="G17" s="3">
        <f t="shared" si="0"/>
        <v>3.6363636363636362E-2</v>
      </c>
      <c r="H17" s="3"/>
      <c r="I17" s="3" t="s">
        <v>43</v>
      </c>
      <c r="J17" s="3" t="s">
        <v>29</v>
      </c>
      <c r="K17" s="4">
        <v>45658</v>
      </c>
      <c r="L17" s="4">
        <v>47319</v>
      </c>
      <c r="M17" s="4"/>
      <c r="N17" t="s">
        <v>106</v>
      </c>
      <c r="O17">
        <v>4.6399999999999997</v>
      </c>
    </row>
    <row r="18" spans="1:15" ht="38.4" customHeight="1" x14ac:dyDescent="0.35">
      <c r="A18" s="3" t="s">
        <v>16</v>
      </c>
      <c r="B18" s="3" t="s">
        <v>25</v>
      </c>
      <c r="C18" s="3" t="s">
        <v>34</v>
      </c>
      <c r="D18" s="3" t="s">
        <v>25</v>
      </c>
      <c r="E18" s="3"/>
      <c r="F18" s="3">
        <v>840000</v>
      </c>
      <c r="G18" s="3">
        <f t="shared" si="0"/>
        <v>3.6363636363636362E-2</v>
      </c>
      <c r="H18" s="3"/>
      <c r="I18" s="3" t="s">
        <v>43</v>
      </c>
      <c r="J18" s="3" t="s">
        <v>29</v>
      </c>
      <c r="K18" s="4">
        <v>45658</v>
      </c>
      <c r="L18" s="4">
        <v>47757</v>
      </c>
      <c r="M18" s="4"/>
      <c r="N18" t="s">
        <v>106</v>
      </c>
      <c r="O18">
        <v>3.95</v>
      </c>
    </row>
    <row r="19" spans="1:15" ht="38.4" customHeight="1" x14ac:dyDescent="0.35">
      <c r="A19" s="3" t="s">
        <v>17</v>
      </c>
      <c r="B19" s="3" t="s">
        <v>25</v>
      </c>
      <c r="C19" s="3" t="s">
        <v>34</v>
      </c>
      <c r="D19" s="3" t="s">
        <v>25</v>
      </c>
      <c r="E19" s="3"/>
      <c r="F19" s="3">
        <v>840000</v>
      </c>
      <c r="G19" s="3">
        <f t="shared" si="0"/>
        <v>3.6363636363636362E-2</v>
      </c>
      <c r="H19" s="3"/>
      <c r="I19" s="3" t="s">
        <v>43</v>
      </c>
      <c r="J19" s="3" t="s">
        <v>29</v>
      </c>
      <c r="K19" s="4">
        <v>45658</v>
      </c>
      <c r="L19" s="4">
        <v>46327</v>
      </c>
      <c r="M19" s="4"/>
      <c r="N19" t="s">
        <v>106</v>
      </c>
      <c r="O19">
        <v>3.25</v>
      </c>
    </row>
    <row r="20" spans="1:15" ht="38.4" customHeight="1" x14ac:dyDescent="0.35">
      <c r="A20" s="3" t="s">
        <v>18</v>
      </c>
      <c r="B20" s="3" t="s">
        <v>25</v>
      </c>
      <c r="C20" s="3" t="s">
        <v>34</v>
      </c>
      <c r="D20" s="3" t="s">
        <v>25</v>
      </c>
      <c r="E20" s="3"/>
      <c r="F20" s="3">
        <v>840000</v>
      </c>
      <c r="G20" s="3">
        <f t="shared" si="0"/>
        <v>3.6363636363636362E-2</v>
      </c>
      <c r="H20" s="3"/>
      <c r="I20" s="3" t="s">
        <v>43</v>
      </c>
      <c r="J20" s="3" t="s">
        <v>27</v>
      </c>
      <c r="K20" s="4">
        <v>45658</v>
      </c>
      <c r="L20" s="4">
        <v>46492</v>
      </c>
      <c r="M20" s="4"/>
      <c r="N20" t="s">
        <v>106</v>
      </c>
      <c r="O20">
        <v>4.62</v>
      </c>
    </row>
    <row r="21" spans="1:15" ht="38.4" customHeight="1" x14ac:dyDescent="0.35">
      <c r="A21" s="3" t="s">
        <v>19</v>
      </c>
      <c r="B21" s="3" t="s">
        <v>25</v>
      </c>
      <c r="C21" s="3" t="s">
        <v>34</v>
      </c>
      <c r="D21" s="3" t="s">
        <v>25</v>
      </c>
      <c r="E21" s="3"/>
      <c r="F21" s="3">
        <v>840000</v>
      </c>
      <c r="G21" s="3">
        <f t="shared" si="0"/>
        <v>3.6363636363636362E-2</v>
      </c>
      <c r="H21" s="3"/>
      <c r="I21" s="3" t="s">
        <v>43</v>
      </c>
      <c r="J21" s="3" t="s">
        <v>30</v>
      </c>
      <c r="K21" s="4">
        <v>45658</v>
      </c>
      <c r="L21" s="4">
        <v>47270</v>
      </c>
      <c r="M21" s="4"/>
      <c r="N21" t="s">
        <v>106</v>
      </c>
      <c r="O21">
        <v>7.85</v>
      </c>
    </row>
    <row r="22" spans="1:15" ht="38.4" customHeight="1" x14ac:dyDescent="0.35">
      <c r="A22" s="3" t="s">
        <v>20</v>
      </c>
      <c r="B22" s="3" t="s">
        <v>25</v>
      </c>
      <c r="C22" s="3" t="s">
        <v>34</v>
      </c>
      <c r="D22" s="3" t="s">
        <v>25</v>
      </c>
      <c r="E22" s="3"/>
      <c r="F22" s="3">
        <v>840000</v>
      </c>
      <c r="G22" s="3">
        <f t="shared" si="0"/>
        <v>3.6363636363636362E-2</v>
      </c>
      <c r="H22" s="3"/>
      <c r="I22" s="3" t="s">
        <v>43</v>
      </c>
      <c r="J22" s="3" t="s">
        <v>29</v>
      </c>
      <c r="K22" s="4">
        <v>45658</v>
      </c>
      <c r="L22" s="4">
        <v>46888</v>
      </c>
      <c r="M22" s="4"/>
      <c r="N22" t="s">
        <v>106</v>
      </c>
      <c r="O22">
        <v>3.25</v>
      </c>
    </row>
    <row r="23" spans="1:15" ht="38.4" customHeight="1" x14ac:dyDescent="0.35">
      <c r="A23" s="3" t="s">
        <v>21</v>
      </c>
      <c r="B23" s="3" t="s">
        <v>25</v>
      </c>
      <c r="C23" s="3" t="s">
        <v>34</v>
      </c>
      <c r="D23" s="3" t="s">
        <v>25</v>
      </c>
      <c r="E23" s="3"/>
      <c r="F23" s="3">
        <v>840000</v>
      </c>
      <c r="G23" s="3">
        <f t="shared" si="0"/>
        <v>3.6363636363636362E-2</v>
      </c>
      <c r="H23" s="3"/>
      <c r="I23" s="3" t="s">
        <v>43</v>
      </c>
      <c r="J23" s="3" t="s">
        <v>29</v>
      </c>
      <c r="K23" s="4">
        <v>45658</v>
      </c>
      <c r="L23" s="4">
        <v>46640</v>
      </c>
      <c r="M23" s="4"/>
      <c r="N23" t="s">
        <v>106</v>
      </c>
      <c r="O23">
        <v>2.95</v>
      </c>
    </row>
    <row r="24" spans="1:15" ht="38.4" customHeight="1" x14ac:dyDescent="0.35">
      <c r="A24" s="3" t="s">
        <v>22</v>
      </c>
      <c r="B24" s="3" t="s">
        <v>25</v>
      </c>
      <c r="C24" s="3" t="s">
        <v>34</v>
      </c>
      <c r="D24" s="3" t="s">
        <v>25</v>
      </c>
      <c r="E24" s="3"/>
      <c r="F24" s="3">
        <v>840000</v>
      </c>
      <c r="G24" s="3">
        <f t="shared" si="0"/>
        <v>3.6363636363636362E-2</v>
      </c>
      <c r="H24" s="3"/>
      <c r="I24" s="3" t="s">
        <v>43</v>
      </c>
      <c r="J24" s="3" t="s">
        <v>29</v>
      </c>
      <c r="K24" s="4">
        <v>45658</v>
      </c>
      <c r="L24" s="4">
        <v>47543</v>
      </c>
      <c r="M24" s="4"/>
      <c r="N24" t="s">
        <v>106</v>
      </c>
      <c r="O24">
        <v>2.95</v>
      </c>
    </row>
    <row r="25" spans="1:15" ht="25.75" customHeight="1" x14ac:dyDescent="0.35">
      <c r="A25" s="5" t="s">
        <v>44</v>
      </c>
      <c r="B25" s="5" t="s">
        <v>45</v>
      </c>
      <c r="C25" s="3" t="s">
        <v>34</v>
      </c>
      <c r="D25" s="5" t="s">
        <v>45</v>
      </c>
      <c r="E25" s="5" t="s">
        <v>75</v>
      </c>
      <c r="F25" s="6">
        <v>28520</v>
      </c>
      <c r="G25" s="6">
        <f>H25/SUM(H$25:H$54)</f>
        <v>0.12648013054209423</v>
      </c>
      <c r="H25" s="7">
        <v>4902017.5999999996</v>
      </c>
      <c r="I25" s="3" t="s">
        <v>43</v>
      </c>
      <c r="K25" s="4"/>
    </row>
    <row r="26" spans="1:15" ht="25.75" customHeight="1" x14ac:dyDescent="0.35">
      <c r="A26" s="5" t="s">
        <v>46</v>
      </c>
      <c r="B26" s="5" t="s">
        <v>45</v>
      </c>
      <c r="C26" s="3" t="s">
        <v>34</v>
      </c>
      <c r="D26" s="5" t="s">
        <v>45</v>
      </c>
      <c r="E26" s="5" t="s">
        <v>76</v>
      </c>
      <c r="F26" s="6">
        <v>13398</v>
      </c>
      <c r="G26" s="6">
        <f t="shared" ref="G26:G54" si="1">H26/SUM(H$25:H$54)</f>
        <v>9.5379458754658877E-2</v>
      </c>
      <c r="H26" s="7">
        <v>3696642.18</v>
      </c>
      <c r="I26" s="3" t="s">
        <v>43</v>
      </c>
      <c r="K26" s="4"/>
    </row>
    <row r="27" spans="1:15" ht="25.75" customHeight="1" x14ac:dyDescent="0.35">
      <c r="A27" s="5" t="s">
        <v>47</v>
      </c>
      <c r="B27" s="5" t="s">
        <v>45</v>
      </c>
      <c r="C27" s="3" t="s">
        <v>34</v>
      </c>
      <c r="D27" s="5" t="s">
        <v>45</v>
      </c>
      <c r="E27" s="5" t="s">
        <v>77</v>
      </c>
      <c r="F27" s="6">
        <v>10873</v>
      </c>
      <c r="G27" s="6">
        <f t="shared" si="1"/>
        <v>9.2929310305008533E-2</v>
      </c>
      <c r="H27" s="7">
        <v>3601681.25</v>
      </c>
      <c r="I27" s="3" t="s">
        <v>43</v>
      </c>
      <c r="K27" s="4"/>
    </row>
    <row r="28" spans="1:15" ht="25.75" customHeight="1" x14ac:dyDescent="0.35">
      <c r="A28" s="5" t="s">
        <v>48</v>
      </c>
      <c r="B28" s="5" t="s">
        <v>45</v>
      </c>
      <c r="C28" s="3" t="s">
        <v>34</v>
      </c>
      <c r="D28" s="5" t="s">
        <v>45</v>
      </c>
      <c r="E28" s="5" t="s">
        <v>78</v>
      </c>
      <c r="F28" s="6">
        <v>9144</v>
      </c>
      <c r="G28" s="6">
        <f t="shared" si="1"/>
        <v>9.2878667605189563E-2</v>
      </c>
      <c r="H28" s="7">
        <v>3599718.48</v>
      </c>
      <c r="I28" s="3" t="s">
        <v>43</v>
      </c>
      <c r="K28" s="4"/>
    </row>
    <row r="29" spans="1:15" ht="25.75" customHeight="1" x14ac:dyDescent="0.35">
      <c r="A29" s="5" t="s">
        <v>49</v>
      </c>
      <c r="B29" s="5" t="s">
        <v>45</v>
      </c>
      <c r="C29" s="3" t="s">
        <v>34</v>
      </c>
      <c r="D29" s="5" t="s">
        <v>45</v>
      </c>
      <c r="E29" s="5" t="s">
        <v>79</v>
      </c>
      <c r="F29" s="6">
        <v>11589</v>
      </c>
      <c r="G29" s="6">
        <f t="shared" si="1"/>
        <v>6.6587715775211706E-2</v>
      </c>
      <c r="H29" s="7">
        <v>2580754.41</v>
      </c>
      <c r="I29" s="3" t="s">
        <v>43</v>
      </c>
      <c r="K29" s="4"/>
    </row>
    <row r="30" spans="1:15" ht="25.75" customHeight="1" x14ac:dyDescent="0.35">
      <c r="A30" s="5" t="s">
        <v>50</v>
      </c>
      <c r="B30" s="5" t="s">
        <v>45</v>
      </c>
      <c r="C30" s="3" t="s">
        <v>34</v>
      </c>
      <c r="D30" s="5" t="s">
        <v>45</v>
      </c>
      <c r="E30" s="5" t="s">
        <v>80</v>
      </c>
      <c r="F30" s="6">
        <v>2975</v>
      </c>
      <c r="G30" s="6">
        <f t="shared" si="1"/>
        <v>5.1445253616507931E-2</v>
      </c>
      <c r="H30" s="7">
        <v>1993874.75</v>
      </c>
      <c r="I30" s="3" t="s">
        <v>43</v>
      </c>
      <c r="K30" s="4"/>
    </row>
    <row r="31" spans="1:15" ht="25.75" customHeight="1" x14ac:dyDescent="0.35">
      <c r="A31" s="5" t="s">
        <v>51</v>
      </c>
      <c r="B31" s="5" t="s">
        <v>45</v>
      </c>
      <c r="C31" s="3" t="s">
        <v>34</v>
      </c>
      <c r="D31" s="5" t="s">
        <v>45</v>
      </c>
      <c r="E31" s="5" t="s">
        <v>81</v>
      </c>
      <c r="F31" s="6">
        <v>5854</v>
      </c>
      <c r="G31" s="6">
        <f t="shared" si="1"/>
        <v>4.6900313778738524E-2</v>
      </c>
      <c r="H31" s="7">
        <v>1817725.54</v>
      </c>
      <c r="I31" s="3" t="s">
        <v>43</v>
      </c>
      <c r="K31" s="4"/>
    </row>
    <row r="32" spans="1:15" ht="25.75" customHeight="1" x14ac:dyDescent="0.35">
      <c r="A32" s="5" t="s">
        <v>52</v>
      </c>
      <c r="B32" s="5" t="s">
        <v>45</v>
      </c>
      <c r="C32" s="3" t="s">
        <v>34</v>
      </c>
      <c r="D32" s="5" t="s">
        <v>45</v>
      </c>
      <c r="E32" s="5" t="s">
        <v>82</v>
      </c>
      <c r="F32" s="6">
        <v>3638</v>
      </c>
      <c r="G32" s="6">
        <f t="shared" si="1"/>
        <v>2.9113600729860498E-2</v>
      </c>
      <c r="H32" s="7">
        <v>1128362.08</v>
      </c>
      <c r="I32" s="3" t="s">
        <v>43</v>
      </c>
      <c r="K32" s="4"/>
    </row>
    <row r="33" spans="1:11" ht="25.75" customHeight="1" x14ac:dyDescent="0.35">
      <c r="A33" s="5" t="s">
        <v>53</v>
      </c>
      <c r="B33" s="5" t="s">
        <v>45</v>
      </c>
      <c r="C33" s="3" t="s">
        <v>34</v>
      </c>
      <c r="D33" s="5" t="s">
        <v>45</v>
      </c>
      <c r="E33" s="5" t="s">
        <v>83</v>
      </c>
      <c r="F33" s="6">
        <v>2499</v>
      </c>
      <c r="G33" s="6">
        <f t="shared" si="1"/>
        <v>2.4654574186134311E-2</v>
      </c>
      <c r="H33" s="7">
        <v>955542.63</v>
      </c>
      <c r="I33" s="3" t="s">
        <v>43</v>
      </c>
      <c r="K33" s="4"/>
    </row>
    <row r="34" spans="1:11" ht="25.75" customHeight="1" x14ac:dyDescent="0.35">
      <c r="A34" s="5" t="s">
        <v>54</v>
      </c>
      <c r="B34" s="5" t="s">
        <v>45</v>
      </c>
      <c r="C34" s="3" t="s">
        <v>34</v>
      </c>
      <c r="D34" s="5" t="s">
        <v>45</v>
      </c>
      <c r="E34" s="5" t="s">
        <v>84</v>
      </c>
      <c r="F34" s="6">
        <v>871</v>
      </c>
      <c r="G34" s="6">
        <f t="shared" si="1"/>
        <v>2.2941577259722037E-2</v>
      </c>
      <c r="H34" s="7">
        <v>889151.64</v>
      </c>
      <c r="I34" s="3" t="s">
        <v>43</v>
      </c>
      <c r="K34" s="4"/>
    </row>
    <row r="35" spans="1:11" ht="25.75" customHeight="1" x14ac:dyDescent="0.35">
      <c r="A35" s="5" t="s">
        <v>55</v>
      </c>
      <c r="B35" s="5" t="s">
        <v>45</v>
      </c>
      <c r="C35" s="3" t="s">
        <v>34</v>
      </c>
      <c r="D35" s="5" t="s">
        <v>45</v>
      </c>
      <c r="E35" s="5" t="s">
        <v>85</v>
      </c>
      <c r="F35" s="6">
        <v>882</v>
      </c>
      <c r="G35" s="6">
        <f t="shared" si="1"/>
        <v>2.197921708765508E-2</v>
      </c>
      <c r="H35" s="7">
        <v>851853.24</v>
      </c>
      <c r="I35" s="3" t="s">
        <v>43</v>
      </c>
      <c r="K35" s="4"/>
    </row>
    <row r="36" spans="1:11" ht="25.75" customHeight="1" x14ac:dyDescent="0.35">
      <c r="A36" s="5" t="s">
        <v>56</v>
      </c>
      <c r="B36" s="5" t="s">
        <v>45</v>
      </c>
      <c r="C36" s="3" t="s">
        <v>34</v>
      </c>
      <c r="D36" s="5" t="s">
        <v>45</v>
      </c>
      <c r="E36" s="5" t="s">
        <v>86</v>
      </c>
      <c r="F36" s="6">
        <v>1879</v>
      </c>
      <c r="G36" s="6">
        <f t="shared" si="1"/>
        <v>2.1899486126388302E-2</v>
      </c>
      <c r="H36" s="7">
        <v>848763.09</v>
      </c>
      <c r="I36" s="3" t="s">
        <v>43</v>
      </c>
      <c r="K36" s="4"/>
    </row>
    <row r="37" spans="1:11" ht="25.75" customHeight="1" x14ac:dyDescent="0.35">
      <c r="A37" s="5" t="s">
        <v>57</v>
      </c>
      <c r="B37" s="5" t="s">
        <v>45</v>
      </c>
      <c r="C37" s="3" t="s">
        <v>34</v>
      </c>
      <c r="D37" s="5" t="s">
        <v>45</v>
      </c>
      <c r="E37" s="5" t="s">
        <v>87</v>
      </c>
      <c r="F37" s="6">
        <v>2542</v>
      </c>
      <c r="G37" s="6">
        <f t="shared" si="1"/>
        <v>2.158690871257625E-2</v>
      </c>
      <c r="H37" s="7">
        <v>836648.46</v>
      </c>
      <c r="I37" s="3" t="s">
        <v>43</v>
      </c>
      <c r="K37" s="4"/>
    </row>
    <row r="38" spans="1:11" ht="25.75" customHeight="1" x14ac:dyDescent="0.35">
      <c r="A38" s="5" t="s">
        <v>58</v>
      </c>
      <c r="B38" s="5" t="s">
        <v>45</v>
      </c>
      <c r="C38" s="3" t="s">
        <v>34</v>
      </c>
      <c r="D38" s="5" t="s">
        <v>45</v>
      </c>
      <c r="E38" s="5" t="s">
        <v>88</v>
      </c>
      <c r="F38" s="6">
        <v>5106</v>
      </c>
      <c r="G38" s="6">
        <f t="shared" si="1"/>
        <v>1.9885320500674059E-2</v>
      </c>
      <c r="H38" s="7">
        <v>770699.64</v>
      </c>
      <c r="I38" s="3" t="s">
        <v>43</v>
      </c>
      <c r="K38" s="4"/>
    </row>
    <row r="39" spans="1:11" ht="25.75" customHeight="1" x14ac:dyDescent="0.35">
      <c r="A39" s="5" t="s">
        <v>59</v>
      </c>
      <c r="B39" s="5" t="s">
        <v>45</v>
      </c>
      <c r="C39" s="3" t="s">
        <v>34</v>
      </c>
      <c r="D39" s="5" t="s">
        <v>45</v>
      </c>
      <c r="E39" s="5" t="s">
        <v>89</v>
      </c>
      <c r="F39" s="6">
        <v>13453</v>
      </c>
      <c r="G39" s="6">
        <f t="shared" si="1"/>
        <v>1.9070199494649446E-2</v>
      </c>
      <c r="H39" s="7">
        <v>739107.82</v>
      </c>
      <c r="I39" s="3" t="s">
        <v>43</v>
      </c>
      <c r="K39" s="4"/>
    </row>
    <row r="40" spans="1:11" ht="25.75" customHeight="1" x14ac:dyDescent="0.35">
      <c r="A40" s="5" t="s">
        <v>60</v>
      </c>
      <c r="B40" s="5" t="s">
        <v>45</v>
      </c>
      <c r="C40" s="3" t="s">
        <v>34</v>
      </c>
      <c r="D40" s="5" t="s">
        <v>45</v>
      </c>
      <c r="E40" s="5" t="s">
        <v>90</v>
      </c>
      <c r="F40" s="6">
        <v>1598</v>
      </c>
      <c r="G40" s="6">
        <f t="shared" si="1"/>
        <v>1.8953493482319339E-2</v>
      </c>
      <c r="H40" s="7">
        <v>734584.62</v>
      </c>
      <c r="I40" s="3" t="s">
        <v>43</v>
      </c>
      <c r="K40" s="4"/>
    </row>
    <row r="41" spans="1:11" ht="25.75" customHeight="1" x14ac:dyDescent="0.35">
      <c r="A41" s="5" t="s">
        <v>61</v>
      </c>
      <c r="B41" s="5" t="s">
        <v>45</v>
      </c>
      <c r="C41" s="3" t="s">
        <v>34</v>
      </c>
      <c r="D41" s="5" t="s">
        <v>45</v>
      </c>
      <c r="E41" s="5" t="s">
        <v>91</v>
      </c>
      <c r="F41" s="6">
        <v>8130</v>
      </c>
      <c r="G41" s="6">
        <f t="shared" si="1"/>
        <v>1.871334929177277E-2</v>
      </c>
      <c r="H41" s="7">
        <v>725277.3</v>
      </c>
      <c r="I41" s="3" t="s">
        <v>43</v>
      </c>
      <c r="K41" s="4"/>
    </row>
    <row r="42" spans="1:11" ht="25.75" customHeight="1" x14ac:dyDescent="0.35">
      <c r="A42" s="5" t="s">
        <v>62</v>
      </c>
      <c r="B42" s="5" t="s">
        <v>45</v>
      </c>
      <c r="C42" s="3" t="s">
        <v>34</v>
      </c>
      <c r="D42" s="5" t="s">
        <v>45</v>
      </c>
      <c r="E42" s="5" t="s">
        <v>92</v>
      </c>
      <c r="F42" s="6">
        <v>4210</v>
      </c>
      <c r="G42" s="6">
        <f t="shared" si="1"/>
        <v>1.8280490531325563E-2</v>
      </c>
      <c r="H42" s="7">
        <v>708500.9</v>
      </c>
      <c r="I42" s="3" t="s">
        <v>43</v>
      </c>
      <c r="K42" s="4"/>
    </row>
    <row r="43" spans="1:11" ht="25.75" customHeight="1" x14ac:dyDescent="0.35">
      <c r="A43" s="5" t="s">
        <v>63</v>
      </c>
      <c r="B43" s="5" t="s">
        <v>45</v>
      </c>
      <c r="C43" s="3" t="s">
        <v>34</v>
      </c>
      <c r="D43" s="5" t="s">
        <v>45</v>
      </c>
      <c r="E43" s="5" t="s">
        <v>93</v>
      </c>
      <c r="F43" s="6">
        <v>2236</v>
      </c>
      <c r="G43" s="6">
        <f t="shared" si="1"/>
        <v>1.7537938207216226E-2</v>
      </c>
      <c r="H43" s="7">
        <v>679721.64</v>
      </c>
      <c r="I43" s="3" t="s">
        <v>43</v>
      </c>
      <c r="K43" s="4"/>
    </row>
    <row r="44" spans="1:11" ht="25.75" customHeight="1" x14ac:dyDescent="0.35">
      <c r="A44" s="5" t="s">
        <v>64</v>
      </c>
      <c r="B44" s="5" t="s">
        <v>45</v>
      </c>
      <c r="C44" s="3" t="s">
        <v>34</v>
      </c>
      <c r="D44" s="5" t="s">
        <v>45</v>
      </c>
      <c r="E44" s="5" t="s">
        <v>94</v>
      </c>
      <c r="F44" s="6">
        <v>3511</v>
      </c>
      <c r="G44" s="6">
        <f t="shared" si="1"/>
        <v>1.7438495045215441E-2</v>
      </c>
      <c r="H44" s="7">
        <v>675867.5</v>
      </c>
      <c r="I44" s="3" t="s">
        <v>43</v>
      </c>
      <c r="K44" s="4"/>
    </row>
    <row r="45" spans="1:11" ht="25.75" customHeight="1" x14ac:dyDescent="0.35">
      <c r="A45" s="5" t="s">
        <v>65</v>
      </c>
      <c r="B45" s="5" t="s">
        <v>45</v>
      </c>
      <c r="C45" s="3" t="s">
        <v>34</v>
      </c>
      <c r="D45" s="5" t="s">
        <v>45</v>
      </c>
      <c r="E45" s="5" t="s">
        <v>95</v>
      </c>
      <c r="F45" s="6">
        <v>1302</v>
      </c>
      <c r="G45" s="6">
        <f t="shared" si="1"/>
        <v>1.6927552242666438E-2</v>
      </c>
      <c r="H45" s="7">
        <v>656064.78</v>
      </c>
      <c r="I45" s="3" t="s">
        <v>43</v>
      </c>
      <c r="K45" s="4"/>
    </row>
    <row r="46" spans="1:11" ht="25.75" customHeight="1" x14ac:dyDescent="0.35">
      <c r="A46" s="5" t="s">
        <v>66</v>
      </c>
      <c r="B46" s="5" t="s">
        <v>45</v>
      </c>
      <c r="C46" s="3" t="s">
        <v>34</v>
      </c>
      <c r="D46" s="5" t="s">
        <v>45</v>
      </c>
      <c r="E46" s="5" t="s">
        <v>96</v>
      </c>
      <c r="F46" s="6">
        <v>8600</v>
      </c>
      <c r="G46" s="6">
        <f t="shared" si="1"/>
        <v>1.6688660464093358E-2</v>
      </c>
      <c r="H46" s="7">
        <v>646806</v>
      </c>
      <c r="I46" s="3" t="s">
        <v>43</v>
      </c>
      <c r="K46" s="4"/>
    </row>
    <row r="47" spans="1:11" ht="25.75" customHeight="1" x14ac:dyDescent="0.35">
      <c r="A47" s="5" t="s">
        <v>67</v>
      </c>
      <c r="B47" s="5" t="s">
        <v>45</v>
      </c>
      <c r="C47" s="3" t="s">
        <v>34</v>
      </c>
      <c r="D47" s="5" t="s">
        <v>45</v>
      </c>
      <c r="E47" s="5" t="s">
        <v>97</v>
      </c>
      <c r="F47" s="6">
        <v>2715</v>
      </c>
      <c r="G47" s="6">
        <f t="shared" si="1"/>
        <v>1.665753980686574E-2</v>
      </c>
      <c r="H47" s="7">
        <v>645599.85</v>
      </c>
      <c r="I47" s="3" t="s">
        <v>43</v>
      </c>
      <c r="K47" s="4"/>
    </row>
    <row r="48" spans="1:11" ht="25.75" customHeight="1" x14ac:dyDescent="0.35">
      <c r="A48" s="5" t="s">
        <v>68</v>
      </c>
      <c r="B48" s="5" t="s">
        <v>45</v>
      </c>
      <c r="C48" s="3" t="s">
        <v>34</v>
      </c>
      <c r="D48" s="5" t="s">
        <v>45</v>
      </c>
      <c r="E48" s="5" t="s">
        <v>98</v>
      </c>
      <c r="F48" s="6">
        <v>2679</v>
      </c>
      <c r="G48" s="6">
        <f t="shared" si="1"/>
        <v>1.6597722041167617E-2</v>
      </c>
      <c r="H48" s="7">
        <v>643281.48</v>
      </c>
      <c r="I48" s="3" t="s">
        <v>43</v>
      </c>
      <c r="K48" s="4"/>
    </row>
    <row r="49" spans="1:11" ht="25.75" customHeight="1" x14ac:dyDescent="0.35">
      <c r="A49" s="5" t="s">
        <v>69</v>
      </c>
      <c r="B49" s="5" t="s">
        <v>45</v>
      </c>
      <c r="C49" s="3" t="s">
        <v>34</v>
      </c>
      <c r="D49" s="5" t="s">
        <v>45</v>
      </c>
      <c r="E49" s="5" t="s">
        <v>99</v>
      </c>
      <c r="F49" s="6">
        <v>4891</v>
      </c>
      <c r="G49" s="6">
        <f t="shared" si="1"/>
        <v>1.6019302253836614E-2</v>
      </c>
      <c r="H49" s="7">
        <v>620863.54</v>
      </c>
      <c r="I49" s="3" t="s">
        <v>43</v>
      </c>
      <c r="K49" s="4"/>
    </row>
    <row r="50" spans="1:11" ht="25.75" customHeight="1" x14ac:dyDescent="0.35">
      <c r="A50" s="5" t="s">
        <v>70</v>
      </c>
      <c r="B50" s="5" t="s">
        <v>45</v>
      </c>
      <c r="C50" s="3" t="s">
        <v>34</v>
      </c>
      <c r="D50" s="5" t="s">
        <v>45</v>
      </c>
      <c r="E50" s="5" t="s">
        <v>100</v>
      </c>
      <c r="F50" s="6">
        <v>2687</v>
      </c>
      <c r="G50" s="6">
        <f t="shared" si="1"/>
        <v>1.5709957528449753E-2</v>
      </c>
      <c r="H50" s="7">
        <v>608874.19999999995</v>
      </c>
      <c r="I50" s="3" t="s">
        <v>43</v>
      </c>
      <c r="K50" s="4"/>
    </row>
    <row r="51" spans="1:11" ht="25.75" customHeight="1" x14ac:dyDescent="0.35">
      <c r="A51" s="5" t="s">
        <v>71</v>
      </c>
      <c r="B51" s="5" t="s">
        <v>45</v>
      </c>
      <c r="C51" s="3" t="s">
        <v>34</v>
      </c>
      <c r="D51" s="5" t="s">
        <v>45</v>
      </c>
      <c r="E51" s="5" t="s">
        <v>101</v>
      </c>
      <c r="F51" s="6">
        <v>3887</v>
      </c>
      <c r="G51" s="6">
        <f t="shared" si="1"/>
        <v>1.465050988480599E-2</v>
      </c>
      <c r="H51" s="7">
        <v>567812.96</v>
      </c>
      <c r="I51" s="3" t="s">
        <v>43</v>
      </c>
      <c r="K51" s="4"/>
    </row>
    <row r="52" spans="1:11" ht="25.75" customHeight="1" x14ac:dyDescent="0.35">
      <c r="A52" s="5" t="s">
        <v>72</v>
      </c>
      <c r="B52" s="5" t="s">
        <v>45</v>
      </c>
      <c r="C52" s="3" t="s">
        <v>34</v>
      </c>
      <c r="D52" s="5" t="s">
        <v>45</v>
      </c>
      <c r="E52" s="5" t="s">
        <v>102</v>
      </c>
      <c r="F52" s="6">
        <v>6525</v>
      </c>
      <c r="G52" s="6">
        <f t="shared" si="1"/>
        <v>1.4589709334351577E-2</v>
      </c>
      <c r="H52" s="7">
        <v>565456.5</v>
      </c>
      <c r="I52" s="3" t="s">
        <v>43</v>
      </c>
      <c r="K52" s="4"/>
    </row>
    <row r="53" spans="1:11" ht="25.75" customHeight="1" x14ac:dyDescent="0.35">
      <c r="A53" s="5" t="s">
        <v>73</v>
      </c>
      <c r="B53" s="5" t="s">
        <v>45</v>
      </c>
      <c r="C53" s="3" t="s">
        <v>34</v>
      </c>
      <c r="D53" s="5" t="s">
        <v>45</v>
      </c>
      <c r="E53" s="5" t="s">
        <v>103</v>
      </c>
      <c r="F53" s="6">
        <v>810</v>
      </c>
      <c r="G53" s="6">
        <f t="shared" si="1"/>
        <v>1.4022408509028342E-2</v>
      </c>
      <c r="H53" s="7">
        <v>543469.5</v>
      </c>
      <c r="I53" s="3" t="s">
        <v>43</v>
      </c>
      <c r="K53" s="4"/>
    </row>
    <row r="54" spans="1:11" ht="25.75" customHeight="1" x14ac:dyDescent="0.35">
      <c r="A54" s="5" t="s">
        <v>74</v>
      </c>
      <c r="B54" s="5" t="s">
        <v>45</v>
      </c>
      <c r="C54" s="3" t="s">
        <v>34</v>
      </c>
      <c r="D54" s="5" t="s">
        <v>45</v>
      </c>
      <c r="E54" s="5" t="s">
        <v>104</v>
      </c>
      <c r="F54" s="6">
        <v>647</v>
      </c>
      <c r="G54" s="6">
        <f t="shared" si="1"/>
        <v>1.3481136901815925E-2</v>
      </c>
      <c r="H54" s="7">
        <v>522491.32</v>
      </c>
      <c r="I54" s="3" t="s">
        <v>43</v>
      </c>
      <c r="K54" s="4"/>
    </row>
  </sheetData>
  <autoFilter ref="A1:O54" xr:uid="{4F6CE96D-2140-4180-9FDA-316C4631C0C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A181-6509-4553-9810-4E21E8C4DACF}">
  <dimension ref="A1:O23"/>
  <sheetViews>
    <sheetView topLeftCell="A5" workbookViewId="0">
      <selection activeCell="H5" sqref="H5"/>
    </sheetView>
  </sheetViews>
  <sheetFormatPr defaultColWidth="13.6328125" defaultRowHeight="14.5" x14ac:dyDescent="0.35"/>
  <cols>
    <col min="1" max="1" width="29.36328125" bestFit="1" customWidth="1"/>
    <col min="2" max="2" width="11.90625" bestFit="1" customWidth="1"/>
    <col min="3" max="3" width="9.26953125" bestFit="1" customWidth="1"/>
    <col min="4" max="4" width="10.08984375" bestFit="1" customWidth="1"/>
    <col min="5" max="5" width="7" bestFit="1" customWidth="1"/>
    <col min="6" max="6" width="9.36328125" bestFit="1" customWidth="1"/>
    <col min="7" max="7" width="16.54296875" customWidth="1"/>
    <col min="8" max="8" width="15.453125" bestFit="1" customWidth="1"/>
    <col min="9" max="9" width="8.453125" bestFit="1" customWidth="1"/>
    <col min="10" max="10" width="6.1796875" bestFit="1" customWidth="1"/>
    <col min="11" max="13" width="10.08984375" bestFit="1" customWidth="1"/>
    <col min="14" max="14" width="12.7265625" bestFit="1" customWidth="1"/>
    <col min="15" max="15" width="7.36328125" bestFit="1" customWidth="1"/>
  </cols>
  <sheetData>
    <row r="1" spans="1:15" ht="38.4" customHeight="1" thickBot="1" x14ac:dyDescent="0.4">
      <c r="A1" s="1" t="s">
        <v>0</v>
      </c>
      <c r="B1" s="1" t="s">
        <v>24</v>
      </c>
      <c r="C1" s="1" t="s">
        <v>33</v>
      </c>
      <c r="D1" s="1" t="s">
        <v>111</v>
      </c>
      <c r="E1" s="1" t="s">
        <v>39</v>
      </c>
      <c r="F1" s="1" t="s">
        <v>40</v>
      </c>
      <c r="G1" s="1" t="s">
        <v>114</v>
      </c>
      <c r="H1" s="1" t="s">
        <v>41</v>
      </c>
      <c r="I1" s="1" t="s">
        <v>42</v>
      </c>
      <c r="J1" s="1" t="s">
        <v>1</v>
      </c>
      <c r="K1" s="1" t="s">
        <v>105</v>
      </c>
      <c r="L1" s="1" t="s">
        <v>2</v>
      </c>
      <c r="M1" s="1" t="s">
        <v>26</v>
      </c>
      <c r="N1" s="1" t="s">
        <v>31</v>
      </c>
      <c r="O1" s="1" t="s">
        <v>23</v>
      </c>
    </row>
    <row r="2" spans="1:15" ht="38.4" customHeight="1" thickBot="1" x14ac:dyDescent="0.4">
      <c r="A2" s="2" t="s">
        <v>38</v>
      </c>
      <c r="B2" s="3" t="s">
        <v>25</v>
      </c>
      <c r="C2" s="3" t="s">
        <v>36</v>
      </c>
      <c r="D2" s="3" t="s">
        <v>112</v>
      </c>
      <c r="E2" s="3"/>
      <c r="F2" s="3">
        <v>4200000</v>
      </c>
      <c r="G2" s="12">
        <v>2.427E-2</v>
      </c>
      <c r="H2" s="3"/>
      <c r="I2" s="3" t="s">
        <v>43</v>
      </c>
      <c r="J2" s="3" t="s">
        <v>28</v>
      </c>
      <c r="K2" s="4">
        <v>45658</v>
      </c>
      <c r="L2" s="4">
        <v>46148</v>
      </c>
      <c r="M2" s="2"/>
      <c r="N2" t="s">
        <v>37</v>
      </c>
      <c r="O2">
        <v>0</v>
      </c>
    </row>
    <row r="3" spans="1:15" ht="38.4" customHeight="1" thickBot="1" x14ac:dyDescent="0.4">
      <c r="A3" s="2" t="s">
        <v>35</v>
      </c>
      <c r="B3" s="3" t="s">
        <v>25</v>
      </c>
      <c r="C3" s="3" t="s">
        <v>36</v>
      </c>
      <c r="D3" s="3" t="s">
        <v>25</v>
      </c>
      <c r="E3" s="3"/>
      <c r="F3" s="3">
        <v>2100000</v>
      </c>
      <c r="G3" s="12">
        <v>0.15567800000000001</v>
      </c>
      <c r="H3" s="3"/>
      <c r="I3" s="3" t="s">
        <v>43</v>
      </c>
      <c r="J3" s="3" t="s">
        <v>28</v>
      </c>
      <c r="K3" s="4">
        <v>45658</v>
      </c>
      <c r="L3" s="4">
        <v>47437</v>
      </c>
      <c r="M3" s="2"/>
      <c r="N3" t="s">
        <v>106</v>
      </c>
      <c r="O3">
        <v>4.125</v>
      </c>
    </row>
    <row r="4" spans="1:15" ht="38.4" customHeight="1" thickBot="1" x14ac:dyDescent="0.4">
      <c r="A4" s="3" t="s">
        <v>3</v>
      </c>
      <c r="B4" s="3" t="s">
        <v>25</v>
      </c>
      <c r="C4" s="3" t="s">
        <v>34</v>
      </c>
      <c r="D4" s="3" t="s">
        <v>25</v>
      </c>
      <c r="E4" s="3"/>
      <c r="F4" s="3">
        <v>840000</v>
      </c>
      <c r="G4" s="12">
        <v>6.8099999999999994E-2</v>
      </c>
      <c r="H4" s="3"/>
      <c r="I4" s="3" t="s">
        <v>43</v>
      </c>
      <c r="J4" s="3" t="s">
        <v>27</v>
      </c>
      <c r="K4" s="4">
        <v>45658</v>
      </c>
      <c r="L4" s="4">
        <v>46513</v>
      </c>
      <c r="M4" s="4"/>
      <c r="N4" t="s">
        <v>106</v>
      </c>
      <c r="O4">
        <v>3.2</v>
      </c>
    </row>
    <row r="5" spans="1:15" ht="38.4" customHeight="1" thickBot="1" x14ac:dyDescent="0.4">
      <c r="A5" s="3" t="s">
        <v>4</v>
      </c>
      <c r="B5" s="3" t="s">
        <v>25</v>
      </c>
      <c r="C5" s="3" t="s">
        <v>34</v>
      </c>
      <c r="D5" s="3" t="s">
        <v>25</v>
      </c>
      <c r="E5" s="3"/>
      <c r="F5" s="3">
        <v>840000</v>
      </c>
      <c r="G5" s="12">
        <v>4.7216000000000001E-2</v>
      </c>
      <c r="H5" s="3"/>
      <c r="I5" s="3" t="s">
        <v>43</v>
      </c>
      <c r="J5" s="3" t="s">
        <v>28</v>
      </c>
      <c r="K5" s="4">
        <v>45658</v>
      </c>
      <c r="L5" s="4">
        <v>46795</v>
      </c>
      <c r="M5" s="4"/>
      <c r="N5" t="s">
        <v>106</v>
      </c>
      <c r="O5">
        <v>3.125</v>
      </c>
    </row>
    <row r="6" spans="1:15" ht="38.4" customHeight="1" thickBot="1" x14ac:dyDescent="0.4">
      <c r="A6" s="3" t="s">
        <v>5</v>
      </c>
      <c r="B6" s="3" t="s">
        <v>25</v>
      </c>
      <c r="C6" s="3" t="s">
        <v>34</v>
      </c>
      <c r="D6" s="3" t="s">
        <v>25</v>
      </c>
      <c r="E6" s="3"/>
      <c r="F6" s="3">
        <v>840000</v>
      </c>
      <c r="G6" s="12">
        <v>8.7729999999999995E-3</v>
      </c>
      <c r="H6" s="3"/>
      <c r="I6" s="3" t="s">
        <v>43</v>
      </c>
      <c r="J6" s="3" t="s">
        <v>29</v>
      </c>
      <c r="K6" s="4">
        <v>45658</v>
      </c>
      <c r="L6" s="4">
        <v>46188</v>
      </c>
      <c r="M6" s="4"/>
      <c r="N6" t="s">
        <v>106</v>
      </c>
      <c r="O6">
        <v>3.2</v>
      </c>
    </row>
    <row r="7" spans="1:15" ht="38.4" customHeight="1" thickBot="1" x14ac:dyDescent="0.4">
      <c r="A7" s="3" t="s">
        <v>6</v>
      </c>
      <c r="B7" s="3" t="s">
        <v>25</v>
      </c>
      <c r="C7" s="3" t="s">
        <v>34</v>
      </c>
      <c r="D7" s="3" t="s">
        <v>25</v>
      </c>
      <c r="E7" s="3"/>
      <c r="F7" s="3">
        <v>840000</v>
      </c>
      <c r="G7" s="12">
        <v>8.7709999999999993E-3</v>
      </c>
      <c r="H7" s="3"/>
      <c r="I7" s="3" t="s">
        <v>43</v>
      </c>
      <c r="J7" s="3" t="s">
        <v>30</v>
      </c>
      <c r="K7" s="4">
        <v>45658</v>
      </c>
      <c r="L7" s="4">
        <v>47442</v>
      </c>
      <c r="M7" s="4"/>
      <c r="N7" t="s">
        <v>106</v>
      </c>
      <c r="O7">
        <v>7.85</v>
      </c>
    </row>
    <row r="8" spans="1:15" ht="38.4" customHeight="1" thickBot="1" x14ac:dyDescent="0.4">
      <c r="A8" s="3" t="s">
        <v>7</v>
      </c>
      <c r="B8" s="3" t="s">
        <v>25</v>
      </c>
      <c r="C8" s="3" t="s">
        <v>34</v>
      </c>
      <c r="D8" s="3" t="s">
        <v>25</v>
      </c>
      <c r="E8" s="3"/>
      <c r="F8" s="3">
        <v>840000</v>
      </c>
      <c r="G8" s="12">
        <v>3.0950000000000001E-3</v>
      </c>
      <c r="H8" s="3"/>
      <c r="I8" s="3" t="s">
        <v>43</v>
      </c>
      <c r="J8" s="3" t="s">
        <v>29</v>
      </c>
      <c r="K8" s="4">
        <v>45658</v>
      </c>
      <c r="L8" s="4">
        <v>47736</v>
      </c>
      <c r="M8" s="4">
        <v>47372</v>
      </c>
      <c r="N8" t="s">
        <v>106</v>
      </c>
      <c r="O8">
        <v>4.6399999999999997</v>
      </c>
    </row>
    <row r="9" spans="1:15" ht="38.4" customHeight="1" thickBot="1" x14ac:dyDescent="0.4">
      <c r="A9" s="3" t="s">
        <v>8</v>
      </c>
      <c r="B9" s="3" t="s">
        <v>25</v>
      </c>
      <c r="C9" s="3" t="s">
        <v>34</v>
      </c>
      <c r="D9" s="3" t="s">
        <v>25</v>
      </c>
      <c r="E9" s="3"/>
      <c r="F9" s="3">
        <v>840000</v>
      </c>
      <c r="G9" s="12">
        <v>0.104017</v>
      </c>
      <c r="H9" s="3"/>
      <c r="I9" s="3" t="s">
        <v>43</v>
      </c>
      <c r="J9" s="3" t="s">
        <v>27</v>
      </c>
      <c r="K9" s="4">
        <v>45658</v>
      </c>
      <c r="L9" s="4">
        <v>46645</v>
      </c>
      <c r="M9" s="4"/>
      <c r="N9" t="s">
        <v>32</v>
      </c>
      <c r="O9">
        <v>3.95</v>
      </c>
    </row>
    <row r="10" spans="1:15" ht="38.4" customHeight="1" thickBot="1" x14ac:dyDescent="0.4">
      <c r="A10" s="3" t="s">
        <v>9</v>
      </c>
      <c r="B10" s="3" t="s">
        <v>25</v>
      </c>
      <c r="C10" s="3" t="s">
        <v>34</v>
      </c>
      <c r="D10" s="3" t="s">
        <v>25</v>
      </c>
      <c r="E10" s="3"/>
      <c r="F10" s="3">
        <v>840000</v>
      </c>
      <c r="G10" s="12">
        <v>4.7532999999999999E-2</v>
      </c>
      <c r="H10" s="3"/>
      <c r="I10" s="3" t="s">
        <v>43</v>
      </c>
      <c r="J10" s="3" t="s">
        <v>27</v>
      </c>
      <c r="K10" s="4">
        <v>45658</v>
      </c>
      <c r="L10" s="4">
        <v>47178</v>
      </c>
      <c r="M10" s="4">
        <v>46447</v>
      </c>
      <c r="N10" t="s">
        <v>32</v>
      </c>
      <c r="O10">
        <v>3.25</v>
      </c>
    </row>
    <row r="11" spans="1:15" ht="38.4" customHeight="1" thickBot="1" x14ac:dyDescent="0.4">
      <c r="A11" s="3" t="s">
        <v>10</v>
      </c>
      <c r="B11" s="3" t="s">
        <v>25</v>
      </c>
      <c r="C11" s="3" t="s">
        <v>34</v>
      </c>
      <c r="D11" s="3" t="s">
        <v>25</v>
      </c>
      <c r="E11" s="3"/>
      <c r="F11" s="3">
        <v>840000</v>
      </c>
      <c r="G11" s="12">
        <v>6.3677999999999998E-2</v>
      </c>
      <c r="H11" s="3"/>
      <c r="I11" s="3" t="s">
        <v>43</v>
      </c>
      <c r="J11" s="3" t="s">
        <v>29</v>
      </c>
      <c r="K11" s="4">
        <v>45658</v>
      </c>
      <c r="L11" s="4">
        <v>47056</v>
      </c>
      <c r="M11" s="4"/>
      <c r="N11" t="s">
        <v>32</v>
      </c>
      <c r="O11">
        <v>4.62</v>
      </c>
    </row>
    <row r="12" spans="1:15" ht="38.4" customHeight="1" thickBot="1" x14ac:dyDescent="0.4">
      <c r="A12" s="3" t="s">
        <v>11</v>
      </c>
      <c r="B12" s="3" t="s">
        <v>25</v>
      </c>
      <c r="C12" s="3" t="s">
        <v>34</v>
      </c>
      <c r="D12" s="3" t="s">
        <v>25</v>
      </c>
      <c r="E12" s="3"/>
      <c r="F12" s="3">
        <v>840000</v>
      </c>
      <c r="G12" s="12">
        <v>1.0759999999999999E-3</v>
      </c>
      <c r="H12" s="3"/>
      <c r="I12" s="3" t="s">
        <v>43</v>
      </c>
      <c r="J12" s="3" t="s">
        <v>30</v>
      </c>
      <c r="K12" s="4">
        <v>45658</v>
      </c>
      <c r="L12" s="4">
        <v>47710</v>
      </c>
      <c r="M12" s="4">
        <v>47164</v>
      </c>
      <c r="N12" t="s">
        <v>32</v>
      </c>
      <c r="O12">
        <v>5.15</v>
      </c>
    </row>
    <row r="13" spans="1:15" ht="38.4" customHeight="1" thickBot="1" x14ac:dyDescent="0.4">
      <c r="A13" s="3" t="s">
        <v>12</v>
      </c>
      <c r="B13" s="3" t="s">
        <v>25</v>
      </c>
      <c r="C13" s="3" t="s">
        <v>34</v>
      </c>
      <c r="D13" s="3" t="s">
        <v>25</v>
      </c>
      <c r="E13" s="3"/>
      <c r="F13" s="3">
        <v>840000</v>
      </c>
      <c r="G13" s="12">
        <v>0.181198</v>
      </c>
      <c r="H13" s="3"/>
      <c r="I13" s="3" t="s">
        <v>43</v>
      </c>
      <c r="J13" s="3" t="s">
        <v>27</v>
      </c>
      <c r="K13" s="4">
        <v>45658</v>
      </c>
      <c r="L13" s="4">
        <v>46113</v>
      </c>
      <c r="M13" s="4"/>
      <c r="N13" t="s">
        <v>32</v>
      </c>
      <c r="O13">
        <v>3.25</v>
      </c>
    </row>
    <row r="14" spans="1:15" ht="38.4" customHeight="1" thickBot="1" x14ac:dyDescent="0.4">
      <c r="A14" s="3" t="s">
        <v>13</v>
      </c>
      <c r="B14" s="3" t="s">
        <v>25</v>
      </c>
      <c r="C14" s="3" t="s">
        <v>34</v>
      </c>
      <c r="D14" s="3" t="s">
        <v>25</v>
      </c>
      <c r="E14" s="3"/>
      <c r="F14" s="3">
        <v>840000</v>
      </c>
      <c r="G14" s="12">
        <v>9.2391000000000001E-2</v>
      </c>
      <c r="H14" s="3"/>
      <c r="I14" s="3" t="s">
        <v>43</v>
      </c>
      <c r="J14" s="3" t="s">
        <v>28</v>
      </c>
      <c r="K14" s="4">
        <v>45658</v>
      </c>
      <c r="L14" s="4">
        <v>46402</v>
      </c>
      <c r="M14" s="4"/>
      <c r="N14" t="s">
        <v>32</v>
      </c>
      <c r="O14">
        <v>2.95</v>
      </c>
    </row>
    <row r="15" spans="1:15" ht="38.4" customHeight="1" thickBot="1" x14ac:dyDescent="0.4">
      <c r="A15" s="3" t="s">
        <v>14</v>
      </c>
      <c r="B15" s="3" t="s">
        <v>25</v>
      </c>
      <c r="C15" s="3" t="s">
        <v>34</v>
      </c>
      <c r="D15" s="3" t="s">
        <v>25</v>
      </c>
      <c r="E15" s="3"/>
      <c r="F15" s="3">
        <v>840000</v>
      </c>
      <c r="G15" s="12">
        <v>1.2345E-2</v>
      </c>
      <c r="H15" s="3"/>
      <c r="I15" s="3" t="s">
        <v>43</v>
      </c>
      <c r="J15" s="3" t="s">
        <v>29</v>
      </c>
      <c r="K15" s="4">
        <v>45658</v>
      </c>
      <c r="L15" s="4">
        <v>47088</v>
      </c>
      <c r="M15" s="4"/>
      <c r="N15" t="s">
        <v>32</v>
      </c>
      <c r="O15">
        <v>2.95</v>
      </c>
    </row>
    <row r="16" spans="1:15" ht="38.4" customHeight="1" thickBot="1" x14ac:dyDescent="0.4">
      <c r="A16" s="3" t="s">
        <v>15</v>
      </c>
      <c r="B16" s="3" t="s">
        <v>25</v>
      </c>
      <c r="C16" s="3" t="s">
        <v>34</v>
      </c>
      <c r="D16" s="3" t="s">
        <v>25</v>
      </c>
      <c r="E16" s="3"/>
      <c r="F16" s="3">
        <v>840000</v>
      </c>
      <c r="G16" s="12">
        <v>1.0378999999999999E-2</v>
      </c>
      <c r="H16" s="3"/>
      <c r="I16" s="3" t="s">
        <v>43</v>
      </c>
      <c r="J16" s="3" t="s">
        <v>29</v>
      </c>
      <c r="K16" s="4">
        <v>45658</v>
      </c>
      <c r="L16" s="4">
        <v>47319</v>
      </c>
      <c r="M16" s="4"/>
      <c r="N16" t="s">
        <v>106</v>
      </c>
      <c r="O16">
        <v>4.6399999999999997</v>
      </c>
    </row>
    <row r="17" spans="1:15" ht="38.4" customHeight="1" thickBot="1" x14ac:dyDescent="0.4">
      <c r="A17" s="3" t="s">
        <v>16</v>
      </c>
      <c r="B17" s="3" t="s">
        <v>25</v>
      </c>
      <c r="C17" s="3" t="s">
        <v>34</v>
      </c>
      <c r="D17" s="3" t="s">
        <v>25</v>
      </c>
      <c r="E17" s="3"/>
      <c r="F17" s="3">
        <v>840000</v>
      </c>
      <c r="G17" s="12">
        <v>1.0479E-2</v>
      </c>
      <c r="H17" s="3"/>
      <c r="I17" s="3" t="s">
        <v>43</v>
      </c>
      <c r="J17" s="3" t="s">
        <v>29</v>
      </c>
      <c r="K17" s="4">
        <v>45658</v>
      </c>
      <c r="L17" s="4">
        <v>47757</v>
      </c>
      <c r="M17" s="4"/>
      <c r="N17" t="s">
        <v>106</v>
      </c>
      <c r="O17">
        <v>3.95</v>
      </c>
    </row>
    <row r="18" spans="1:15" ht="38.4" customHeight="1" thickBot="1" x14ac:dyDescent="0.4">
      <c r="A18" s="3" t="s">
        <v>17</v>
      </c>
      <c r="B18" s="3" t="s">
        <v>25</v>
      </c>
      <c r="C18" s="3" t="s">
        <v>34</v>
      </c>
      <c r="D18" s="3" t="s">
        <v>25</v>
      </c>
      <c r="E18" s="3"/>
      <c r="F18" s="3">
        <v>840000</v>
      </c>
      <c r="G18" s="12">
        <v>1.8761E-2</v>
      </c>
      <c r="H18" s="3"/>
      <c r="I18" s="3" t="s">
        <v>43</v>
      </c>
      <c r="J18" s="3" t="s">
        <v>29</v>
      </c>
      <c r="K18" s="4">
        <v>45658</v>
      </c>
      <c r="L18" s="4">
        <v>46327</v>
      </c>
      <c r="M18" s="4"/>
      <c r="N18" t="s">
        <v>106</v>
      </c>
      <c r="O18">
        <v>3.25</v>
      </c>
    </row>
    <row r="19" spans="1:15" ht="38.4" customHeight="1" thickBot="1" x14ac:dyDescent="0.4">
      <c r="A19" s="3" t="s">
        <v>18</v>
      </c>
      <c r="B19" s="3" t="s">
        <v>25</v>
      </c>
      <c r="C19" s="3" t="s">
        <v>34</v>
      </c>
      <c r="D19" s="3" t="s">
        <v>25</v>
      </c>
      <c r="E19" s="3"/>
      <c r="F19" s="3">
        <v>840000</v>
      </c>
      <c r="G19" s="12">
        <v>3.8475000000000002E-2</v>
      </c>
      <c r="H19" s="3"/>
      <c r="I19" s="3" t="s">
        <v>43</v>
      </c>
      <c r="J19" s="3" t="s">
        <v>27</v>
      </c>
      <c r="K19" s="4">
        <v>45658</v>
      </c>
      <c r="L19" s="4">
        <v>46492</v>
      </c>
      <c r="M19" s="4"/>
      <c r="N19" t="s">
        <v>106</v>
      </c>
      <c r="O19">
        <v>4.62</v>
      </c>
    </row>
    <row r="20" spans="1:15" ht="38.4" customHeight="1" thickBot="1" x14ac:dyDescent="0.4">
      <c r="A20" s="3" t="s">
        <v>19</v>
      </c>
      <c r="B20" s="3" t="s">
        <v>25</v>
      </c>
      <c r="C20" s="3" t="s">
        <v>34</v>
      </c>
      <c r="D20" s="3" t="s">
        <v>25</v>
      </c>
      <c r="E20" s="3"/>
      <c r="F20" s="3">
        <v>840000</v>
      </c>
      <c r="G20" s="12">
        <v>2.9249000000000001E-2</v>
      </c>
      <c r="H20" s="3"/>
      <c r="I20" s="3" t="s">
        <v>43</v>
      </c>
      <c r="J20" s="3" t="s">
        <v>30</v>
      </c>
      <c r="K20" s="4">
        <v>45658</v>
      </c>
      <c r="L20" s="4">
        <v>47270</v>
      </c>
      <c r="M20" s="4"/>
      <c r="N20" t="s">
        <v>106</v>
      </c>
      <c r="O20">
        <v>7.85</v>
      </c>
    </row>
    <row r="21" spans="1:15" ht="38.4" customHeight="1" thickBot="1" x14ac:dyDescent="0.4">
      <c r="A21" s="3" t="s">
        <v>20</v>
      </c>
      <c r="B21" s="3" t="s">
        <v>25</v>
      </c>
      <c r="C21" s="3" t="s">
        <v>34</v>
      </c>
      <c r="D21" s="3" t="s">
        <v>25</v>
      </c>
      <c r="E21" s="3"/>
      <c r="F21" s="3">
        <v>840000</v>
      </c>
      <c r="G21" s="12">
        <v>1.7802999999999999E-2</v>
      </c>
      <c r="H21" s="3"/>
      <c r="I21" s="3" t="s">
        <v>43</v>
      </c>
      <c r="J21" s="3" t="s">
        <v>29</v>
      </c>
      <c r="K21" s="4">
        <v>45658</v>
      </c>
      <c r="L21" s="4">
        <v>46888</v>
      </c>
      <c r="M21" s="4"/>
      <c r="N21" t="s">
        <v>106</v>
      </c>
      <c r="O21">
        <v>3.25</v>
      </c>
    </row>
    <row r="22" spans="1:15" ht="38.4" customHeight="1" thickBot="1" x14ac:dyDescent="0.4">
      <c r="A22" s="3" t="s">
        <v>21</v>
      </c>
      <c r="B22" s="3" t="s">
        <v>25</v>
      </c>
      <c r="C22" s="3" t="s">
        <v>34</v>
      </c>
      <c r="D22" s="3" t="s">
        <v>25</v>
      </c>
      <c r="E22" s="3"/>
      <c r="F22" s="3">
        <v>840000</v>
      </c>
      <c r="G22" s="12">
        <v>4.8945000000000002E-2</v>
      </c>
      <c r="H22" s="3"/>
      <c r="I22" s="3" t="s">
        <v>43</v>
      </c>
      <c r="J22" s="3" t="s">
        <v>29</v>
      </c>
      <c r="K22" s="4">
        <v>45658</v>
      </c>
      <c r="L22" s="4">
        <v>46640</v>
      </c>
      <c r="M22" s="4"/>
      <c r="N22" t="s">
        <v>106</v>
      </c>
      <c r="O22">
        <v>2.95</v>
      </c>
    </row>
    <row r="23" spans="1:15" ht="38.4" customHeight="1" thickBot="1" x14ac:dyDescent="0.4">
      <c r="A23" s="3" t="s">
        <v>22</v>
      </c>
      <c r="B23" s="3" t="s">
        <v>25</v>
      </c>
      <c r="C23" s="3" t="s">
        <v>34</v>
      </c>
      <c r="D23" s="3" t="s">
        <v>25</v>
      </c>
      <c r="E23" s="3"/>
      <c r="F23" s="3">
        <v>840000</v>
      </c>
      <c r="G23" s="12">
        <v>7.77E-3</v>
      </c>
      <c r="H23" s="3"/>
      <c r="I23" s="3" t="s">
        <v>43</v>
      </c>
      <c r="J23" s="3" t="s">
        <v>29</v>
      </c>
      <c r="K23" s="4">
        <v>45658</v>
      </c>
      <c r="L23" s="4">
        <v>47543</v>
      </c>
      <c r="M23" s="4"/>
      <c r="N23" t="s">
        <v>106</v>
      </c>
      <c r="O23">
        <v>2.95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EF59-EEFB-47F1-8BA4-803BBB5A39FB}">
  <dimension ref="A1:O31"/>
  <sheetViews>
    <sheetView tabSelected="1" topLeftCell="A2" workbookViewId="0">
      <selection activeCell="G2" sqref="G2"/>
    </sheetView>
  </sheetViews>
  <sheetFormatPr defaultColWidth="13.6328125" defaultRowHeight="14.5" x14ac:dyDescent="0.35"/>
  <cols>
    <col min="1" max="1" width="29.36328125" bestFit="1" customWidth="1"/>
    <col min="2" max="2" width="11.90625" bestFit="1" customWidth="1"/>
    <col min="3" max="3" width="9.26953125" bestFit="1" customWidth="1"/>
    <col min="4" max="4" width="10.08984375" bestFit="1" customWidth="1"/>
    <col min="5" max="5" width="7" bestFit="1" customWidth="1"/>
    <col min="6" max="6" width="9.36328125" bestFit="1" customWidth="1"/>
    <col min="7" max="7" width="26.7265625" customWidth="1"/>
    <col min="8" max="8" width="15.453125" bestFit="1" customWidth="1"/>
    <col min="9" max="9" width="8.453125" bestFit="1" customWidth="1"/>
    <col min="10" max="10" width="6.1796875" bestFit="1" customWidth="1"/>
    <col min="11" max="13" width="10.08984375" bestFit="1" customWidth="1"/>
    <col min="14" max="14" width="12.7265625" bestFit="1" customWidth="1"/>
    <col min="15" max="15" width="7.36328125" bestFit="1" customWidth="1"/>
  </cols>
  <sheetData>
    <row r="1" spans="1:15" ht="38.4" customHeight="1" x14ac:dyDescent="0.35">
      <c r="A1" s="1" t="s">
        <v>0</v>
      </c>
      <c r="B1" s="1" t="s">
        <v>24</v>
      </c>
      <c r="C1" s="1" t="s">
        <v>33</v>
      </c>
      <c r="D1" s="1" t="s">
        <v>111</v>
      </c>
      <c r="E1" s="1" t="s">
        <v>39</v>
      </c>
      <c r="F1" s="1" t="s">
        <v>40</v>
      </c>
      <c r="G1" s="1" t="s">
        <v>120</v>
      </c>
      <c r="H1" s="1" t="s">
        <v>41</v>
      </c>
      <c r="I1" s="1" t="s">
        <v>42</v>
      </c>
      <c r="J1" s="1" t="s">
        <v>1</v>
      </c>
      <c r="K1" s="1" t="s">
        <v>105</v>
      </c>
      <c r="L1" s="1" t="s">
        <v>2</v>
      </c>
      <c r="M1" s="1" t="s">
        <v>26</v>
      </c>
      <c r="N1" s="1" t="s">
        <v>31</v>
      </c>
      <c r="O1" s="1" t="s">
        <v>23</v>
      </c>
    </row>
    <row r="2" spans="1:15" ht="25.75" customHeight="1" x14ac:dyDescent="0.35">
      <c r="A2" s="5" t="s">
        <v>44</v>
      </c>
      <c r="B2" s="5" t="s">
        <v>45</v>
      </c>
      <c r="C2" s="3" t="s">
        <v>34</v>
      </c>
      <c r="D2" s="5" t="s">
        <v>45</v>
      </c>
      <c r="E2" s="5" t="s">
        <v>75</v>
      </c>
      <c r="F2" s="6">
        <v>28520</v>
      </c>
      <c r="G2">
        <v>0.05</v>
      </c>
      <c r="H2" s="7">
        <v>4902017.5999999996</v>
      </c>
      <c r="I2" s="3" t="s">
        <v>43</v>
      </c>
      <c r="K2" s="4"/>
    </row>
    <row r="3" spans="1:15" ht="25.75" customHeight="1" x14ac:dyDescent="0.35">
      <c r="A3" s="5" t="s">
        <v>46</v>
      </c>
      <c r="B3" s="5" t="s">
        <v>45</v>
      </c>
      <c r="C3" s="3" t="s">
        <v>34</v>
      </c>
      <c r="D3" s="5" t="s">
        <v>45</v>
      </c>
      <c r="E3" s="5" t="s">
        <v>76</v>
      </c>
      <c r="F3" s="6">
        <v>13398</v>
      </c>
      <c r="G3">
        <v>0.05</v>
      </c>
      <c r="H3" s="7">
        <v>3696642.18</v>
      </c>
      <c r="I3" s="3" t="s">
        <v>43</v>
      </c>
      <c r="K3" s="4"/>
    </row>
    <row r="4" spans="1:15" ht="25.75" customHeight="1" x14ac:dyDescent="0.35">
      <c r="A4" s="5" t="s">
        <v>47</v>
      </c>
      <c r="B4" s="5" t="s">
        <v>45</v>
      </c>
      <c r="C4" s="3" t="s">
        <v>34</v>
      </c>
      <c r="D4" s="5" t="s">
        <v>45</v>
      </c>
      <c r="E4" s="5" t="s">
        <v>77</v>
      </c>
      <c r="F4" s="6">
        <v>10873</v>
      </c>
      <c r="G4">
        <v>0.05</v>
      </c>
      <c r="H4" s="7">
        <v>3601681.25</v>
      </c>
      <c r="I4" s="3" t="s">
        <v>43</v>
      </c>
      <c r="K4" s="4"/>
    </row>
    <row r="5" spans="1:15" ht="25.75" customHeight="1" x14ac:dyDescent="0.35">
      <c r="A5" s="5" t="s">
        <v>48</v>
      </c>
      <c r="B5" s="5" t="s">
        <v>45</v>
      </c>
      <c r="C5" s="3" t="s">
        <v>34</v>
      </c>
      <c r="D5" s="5" t="s">
        <v>45</v>
      </c>
      <c r="E5" s="5" t="s">
        <v>78</v>
      </c>
      <c r="F5" s="6">
        <v>9144</v>
      </c>
      <c r="G5">
        <v>0.05</v>
      </c>
      <c r="H5" s="7">
        <v>3599718.48</v>
      </c>
      <c r="I5" s="3" t="s">
        <v>43</v>
      </c>
      <c r="K5" s="4"/>
    </row>
    <row r="6" spans="1:15" ht="25.75" customHeight="1" x14ac:dyDescent="0.35">
      <c r="A6" s="5" t="s">
        <v>49</v>
      </c>
      <c r="B6" s="5" t="s">
        <v>45</v>
      </c>
      <c r="C6" s="3" t="s">
        <v>34</v>
      </c>
      <c r="D6" s="5" t="s">
        <v>45</v>
      </c>
      <c r="E6" s="5" t="s">
        <v>79</v>
      </c>
      <c r="F6" s="6">
        <v>11589</v>
      </c>
      <c r="G6">
        <v>0.05</v>
      </c>
      <c r="H6" s="7">
        <v>2580754.41</v>
      </c>
      <c r="I6" s="3" t="s">
        <v>43</v>
      </c>
      <c r="K6" s="4"/>
    </row>
    <row r="7" spans="1:15" ht="25.75" customHeight="1" x14ac:dyDescent="0.35">
      <c r="A7" s="5" t="s">
        <v>50</v>
      </c>
      <c r="B7" s="5" t="s">
        <v>45</v>
      </c>
      <c r="C7" s="3" t="s">
        <v>34</v>
      </c>
      <c r="D7" s="5" t="s">
        <v>45</v>
      </c>
      <c r="E7" s="5" t="s">
        <v>80</v>
      </c>
      <c r="F7" s="6">
        <v>2975</v>
      </c>
      <c r="G7">
        <v>0.05</v>
      </c>
      <c r="H7" s="7">
        <v>1993874.75</v>
      </c>
      <c r="I7" s="3" t="s">
        <v>43</v>
      </c>
      <c r="K7" s="4"/>
    </row>
    <row r="8" spans="1:15" ht="25.75" customHeight="1" x14ac:dyDescent="0.35">
      <c r="A8" s="5" t="s">
        <v>51</v>
      </c>
      <c r="B8" s="5" t="s">
        <v>45</v>
      </c>
      <c r="C8" s="3" t="s">
        <v>34</v>
      </c>
      <c r="D8" s="5" t="s">
        <v>45</v>
      </c>
      <c r="E8" s="5" t="s">
        <v>81</v>
      </c>
      <c r="F8" s="6">
        <v>5854</v>
      </c>
      <c r="G8">
        <v>0.05</v>
      </c>
      <c r="H8" s="7">
        <v>1817725.54</v>
      </c>
      <c r="I8" s="3" t="s">
        <v>43</v>
      </c>
      <c r="K8" s="4"/>
    </row>
    <row r="9" spans="1:15" ht="25.75" customHeight="1" x14ac:dyDescent="0.35">
      <c r="A9" s="5" t="s">
        <v>52</v>
      </c>
      <c r="B9" s="5" t="s">
        <v>45</v>
      </c>
      <c r="C9" s="3" t="s">
        <v>34</v>
      </c>
      <c r="D9" s="5" t="s">
        <v>45</v>
      </c>
      <c r="E9" s="5" t="s">
        <v>82</v>
      </c>
      <c r="F9" s="6">
        <v>3638</v>
      </c>
      <c r="G9">
        <v>0.05</v>
      </c>
      <c r="H9" s="7">
        <v>1128362.08</v>
      </c>
      <c r="I9" s="3" t="s">
        <v>43</v>
      </c>
      <c r="K9" s="4"/>
    </row>
    <row r="10" spans="1:15" ht="25.75" customHeight="1" x14ac:dyDescent="0.35">
      <c r="A10" s="5" t="s">
        <v>53</v>
      </c>
      <c r="B10" s="5" t="s">
        <v>45</v>
      </c>
      <c r="C10" s="3" t="s">
        <v>34</v>
      </c>
      <c r="D10" s="5" t="s">
        <v>45</v>
      </c>
      <c r="E10" s="5" t="s">
        <v>83</v>
      </c>
      <c r="F10" s="6">
        <v>2499</v>
      </c>
      <c r="G10">
        <v>0.05</v>
      </c>
      <c r="H10" s="7">
        <v>955542.63</v>
      </c>
      <c r="I10" s="3" t="s">
        <v>43</v>
      </c>
      <c r="K10" s="4"/>
    </row>
    <row r="11" spans="1:15" ht="25.75" customHeight="1" x14ac:dyDescent="0.35">
      <c r="A11" s="5" t="s">
        <v>54</v>
      </c>
      <c r="B11" s="5" t="s">
        <v>45</v>
      </c>
      <c r="C11" s="3" t="s">
        <v>34</v>
      </c>
      <c r="D11" s="5" t="s">
        <v>45</v>
      </c>
      <c r="E11" s="5" t="s">
        <v>84</v>
      </c>
      <c r="F11" s="6">
        <v>871</v>
      </c>
      <c r="G11">
        <v>0.05</v>
      </c>
      <c r="H11" s="7">
        <v>889151.64</v>
      </c>
      <c r="I11" s="3" t="s">
        <v>43</v>
      </c>
      <c r="K11" s="4"/>
    </row>
    <row r="12" spans="1:15" ht="25.75" customHeight="1" x14ac:dyDescent="0.35">
      <c r="A12" s="5" t="s">
        <v>55</v>
      </c>
      <c r="B12" s="5" t="s">
        <v>45</v>
      </c>
      <c r="C12" s="3" t="s">
        <v>34</v>
      </c>
      <c r="D12" s="5" t="s">
        <v>45</v>
      </c>
      <c r="E12" s="5" t="s">
        <v>85</v>
      </c>
      <c r="F12" s="6">
        <v>882</v>
      </c>
      <c r="G12">
        <v>0.03</v>
      </c>
      <c r="H12" s="7">
        <v>851853.24</v>
      </c>
      <c r="I12" s="3" t="s">
        <v>43</v>
      </c>
      <c r="K12" s="4"/>
    </row>
    <row r="13" spans="1:15" ht="25.75" customHeight="1" x14ac:dyDescent="0.35">
      <c r="A13" s="5" t="s">
        <v>56</v>
      </c>
      <c r="B13" s="5" t="s">
        <v>45</v>
      </c>
      <c r="C13" s="3" t="s">
        <v>34</v>
      </c>
      <c r="D13" s="5" t="s">
        <v>45</v>
      </c>
      <c r="E13" s="5" t="s">
        <v>86</v>
      </c>
      <c r="F13" s="6">
        <v>1879</v>
      </c>
      <c r="G13">
        <v>0.03</v>
      </c>
      <c r="H13" s="7">
        <v>848763.09</v>
      </c>
      <c r="I13" s="3" t="s">
        <v>43</v>
      </c>
      <c r="K13" s="4"/>
    </row>
    <row r="14" spans="1:15" ht="25.75" customHeight="1" x14ac:dyDescent="0.35">
      <c r="A14" s="5" t="s">
        <v>57</v>
      </c>
      <c r="B14" s="5" t="s">
        <v>45</v>
      </c>
      <c r="C14" s="3" t="s">
        <v>34</v>
      </c>
      <c r="D14" s="5" t="s">
        <v>45</v>
      </c>
      <c r="E14" s="5" t="s">
        <v>87</v>
      </c>
      <c r="F14" s="6">
        <v>2542</v>
      </c>
      <c r="G14">
        <v>0.03</v>
      </c>
      <c r="H14" s="7">
        <v>836648.46</v>
      </c>
      <c r="I14" s="3" t="s">
        <v>43</v>
      </c>
      <c r="K14" s="4"/>
    </row>
    <row r="15" spans="1:15" ht="25.75" customHeight="1" x14ac:dyDescent="0.35">
      <c r="A15" s="5" t="s">
        <v>58</v>
      </c>
      <c r="B15" s="5" t="s">
        <v>45</v>
      </c>
      <c r="C15" s="3" t="s">
        <v>34</v>
      </c>
      <c r="D15" s="5" t="s">
        <v>45</v>
      </c>
      <c r="E15" s="5" t="s">
        <v>88</v>
      </c>
      <c r="F15" s="6">
        <v>5106</v>
      </c>
      <c r="G15">
        <v>0.03</v>
      </c>
      <c r="H15" s="7">
        <v>770699.64</v>
      </c>
      <c r="I15" s="3" t="s">
        <v>43</v>
      </c>
      <c r="K15" s="4"/>
    </row>
    <row r="16" spans="1:15" ht="25.75" customHeight="1" x14ac:dyDescent="0.35">
      <c r="A16" s="5" t="s">
        <v>59</v>
      </c>
      <c r="B16" s="5" t="s">
        <v>45</v>
      </c>
      <c r="C16" s="3" t="s">
        <v>34</v>
      </c>
      <c r="D16" s="5" t="s">
        <v>45</v>
      </c>
      <c r="E16" s="5" t="s">
        <v>89</v>
      </c>
      <c r="F16" s="6">
        <v>13453</v>
      </c>
      <c r="G16">
        <v>0.03</v>
      </c>
      <c r="H16" s="7">
        <v>739107.82</v>
      </c>
      <c r="I16" s="3" t="s">
        <v>43</v>
      </c>
      <c r="K16" s="4"/>
    </row>
    <row r="17" spans="1:11" ht="25.75" customHeight="1" x14ac:dyDescent="0.35">
      <c r="A17" s="5" t="s">
        <v>60</v>
      </c>
      <c r="B17" s="5" t="s">
        <v>45</v>
      </c>
      <c r="C17" s="3" t="s">
        <v>34</v>
      </c>
      <c r="D17" s="5" t="s">
        <v>45</v>
      </c>
      <c r="E17" s="5" t="s">
        <v>90</v>
      </c>
      <c r="F17" s="6">
        <v>1598</v>
      </c>
      <c r="G17">
        <v>0.03</v>
      </c>
      <c r="H17" s="7">
        <v>734584.62</v>
      </c>
      <c r="I17" s="3" t="s">
        <v>43</v>
      </c>
      <c r="K17" s="4"/>
    </row>
    <row r="18" spans="1:11" ht="25.75" customHeight="1" x14ac:dyDescent="0.35">
      <c r="A18" s="5" t="s">
        <v>61</v>
      </c>
      <c r="B18" s="5" t="s">
        <v>45</v>
      </c>
      <c r="C18" s="3" t="s">
        <v>34</v>
      </c>
      <c r="D18" s="5" t="s">
        <v>45</v>
      </c>
      <c r="E18" s="5" t="s">
        <v>91</v>
      </c>
      <c r="F18" s="6">
        <v>8130</v>
      </c>
      <c r="G18">
        <v>0.03</v>
      </c>
      <c r="H18" s="7">
        <v>725277.3</v>
      </c>
      <c r="I18" s="3" t="s">
        <v>43</v>
      </c>
      <c r="K18" s="4"/>
    </row>
    <row r="19" spans="1:11" ht="25.75" customHeight="1" x14ac:dyDescent="0.35">
      <c r="A19" s="5" t="s">
        <v>62</v>
      </c>
      <c r="B19" s="5" t="s">
        <v>45</v>
      </c>
      <c r="C19" s="3" t="s">
        <v>34</v>
      </c>
      <c r="D19" s="5" t="s">
        <v>45</v>
      </c>
      <c r="E19" s="5" t="s">
        <v>92</v>
      </c>
      <c r="F19" s="6">
        <v>4210</v>
      </c>
      <c r="G19">
        <v>0.03</v>
      </c>
      <c r="H19" s="7">
        <v>708500.9</v>
      </c>
      <c r="I19" s="3" t="s">
        <v>43</v>
      </c>
      <c r="K19" s="4"/>
    </row>
    <row r="20" spans="1:11" ht="25.75" customHeight="1" x14ac:dyDescent="0.35">
      <c r="A20" s="5" t="s">
        <v>63</v>
      </c>
      <c r="B20" s="5" t="s">
        <v>45</v>
      </c>
      <c r="C20" s="3" t="s">
        <v>34</v>
      </c>
      <c r="D20" s="5" t="s">
        <v>45</v>
      </c>
      <c r="E20" s="5" t="s">
        <v>93</v>
      </c>
      <c r="F20" s="6">
        <v>2236</v>
      </c>
      <c r="G20">
        <v>0.03</v>
      </c>
      <c r="H20" s="7">
        <v>679721.64</v>
      </c>
      <c r="I20" s="3" t="s">
        <v>43</v>
      </c>
      <c r="K20" s="4"/>
    </row>
    <row r="21" spans="1:11" ht="25.75" customHeight="1" x14ac:dyDescent="0.35">
      <c r="A21" s="5" t="s">
        <v>64</v>
      </c>
      <c r="B21" s="5" t="s">
        <v>45</v>
      </c>
      <c r="C21" s="3" t="s">
        <v>34</v>
      </c>
      <c r="D21" s="5" t="s">
        <v>45</v>
      </c>
      <c r="E21" s="5" t="s">
        <v>94</v>
      </c>
      <c r="F21" s="6">
        <v>3511</v>
      </c>
      <c r="G21">
        <v>0.03</v>
      </c>
      <c r="H21" s="7">
        <v>675867.5</v>
      </c>
      <c r="I21" s="3" t="s">
        <v>43</v>
      </c>
      <c r="K21" s="4"/>
    </row>
    <row r="22" spans="1:11" ht="25.75" customHeight="1" x14ac:dyDescent="0.35">
      <c r="A22" s="5" t="s">
        <v>65</v>
      </c>
      <c r="B22" s="5" t="s">
        <v>45</v>
      </c>
      <c r="C22" s="3" t="s">
        <v>34</v>
      </c>
      <c r="D22" s="5" t="s">
        <v>45</v>
      </c>
      <c r="E22" s="5" t="s">
        <v>95</v>
      </c>
      <c r="F22" s="6">
        <v>1302</v>
      </c>
      <c r="G22">
        <v>0.02</v>
      </c>
      <c r="H22" s="7">
        <v>656064.78</v>
      </c>
      <c r="I22" s="3" t="s">
        <v>43</v>
      </c>
      <c r="K22" s="4"/>
    </row>
    <row r="23" spans="1:11" ht="25.75" customHeight="1" x14ac:dyDescent="0.35">
      <c r="A23" s="5" t="s">
        <v>66</v>
      </c>
      <c r="B23" s="5" t="s">
        <v>45</v>
      </c>
      <c r="C23" s="3" t="s">
        <v>34</v>
      </c>
      <c r="D23" s="5" t="s">
        <v>45</v>
      </c>
      <c r="E23" s="5" t="s">
        <v>96</v>
      </c>
      <c r="F23" s="6">
        <v>8600</v>
      </c>
      <c r="G23">
        <v>0.02</v>
      </c>
      <c r="H23" s="7">
        <v>646806</v>
      </c>
      <c r="I23" s="3" t="s">
        <v>43</v>
      </c>
      <c r="K23" s="4"/>
    </row>
    <row r="24" spans="1:11" ht="25.75" customHeight="1" x14ac:dyDescent="0.35">
      <c r="A24" s="5" t="s">
        <v>67</v>
      </c>
      <c r="B24" s="5" t="s">
        <v>45</v>
      </c>
      <c r="C24" s="3" t="s">
        <v>34</v>
      </c>
      <c r="D24" s="5" t="s">
        <v>45</v>
      </c>
      <c r="E24" s="5" t="s">
        <v>97</v>
      </c>
      <c r="F24" s="6">
        <v>2715</v>
      </c>
      <c r="G24">
        <v>0.02</v>
      </c>
      <c r="H24" s="7">
        <v>645599.85</v>
      </c>
      <c r="I24" s="3" t="s">
        <v>43</v>
      </c>
      <c r="K24" s="4"/>
    </row>
    <row r="25" spans="1:11" ht="25.75" customHeight="1" x14ac:dyDescent="0.35">
      <c r="A25" s="5" t="s">
        <v>68</v>
      </c>
      <c r="B25" s="5" t="s">
        <v>45</v>
      </c>
      <c r="C25" s="3" t="s">
        <v>34</v>
      </c>
      <c r="D25" s="5" t="s">
        <v>45</v>
      </c>
      <c r="E25" s="5" t="s">
        <v>98</v>
      </c>
      <c r="F25" s="6">
        <v>2679</v>
      </c>
      <c r="G25">
        <v>0.02</v>
      </c>
      <c r="H25" s="7">
        <v>643281.48</v>
      </c>
      <c r="I25" s="3" t="s">
        <v>43</v>
      </c>
      <c r="K25" s="4"/>
    </row>
    <row r="26" spans="1:11" ht="25.75" customHeight="1" x14ac:dyDescent="0.35">
      <c r="A26" s="5" t="s">
        <v>69</v>
      </c>
      <c r="B26" s="5" t="s">
        <v>45</v>
      </c>
      <c r="C26" s="3" t="s">
        <v>34</v>
      </c>
      <c r="D26" s="5" t="s">
        <v>45</v>
      </c>
      <c r="E26" s="5" t="s">
        <v>99</v>
      </c>
      <c r="F26" s="6">
        <v>4891</v>
      </c>
      <c r="G26">
        <v>0.02</v>
      </c>
      <c r="H26" s="7">
        <v>620863.54</v>
      </c>
      <c r="I26" s="3" t="s">
        <v>43</v>
      </c>
      <c r="K26" s="4"/>
    </row>
    <row r="27" spans="1:11" ht="25.75" customHeight="1" x14ac:dyDescent="0.35">
      <c r="A27" s="5" t="s">
        <v>70</v>
      </c>
      <c r="B27" s="5" t="s">
        <v>45</v>
      </c>
      <c r="C27" s="3" t="s">
        <v>34</v>
      </c>
      <c r="D27" s="5" t="s">
        <v>45</v>
      </c>
      <c r="E27" s="5" t="s">
        <v>100</v>
      </c>
      <c r="F27" s="6">
        <v>2687</v>
      </c>
      <c r="G27">
        <v>0.02</v>
      </c>
      <c r="H27" s="7">
        <v>608874.19999999995</v>
      </c>
      <c r="I27" s="3" t="s">
        <v>43</v>
      </c>
      <c r="K27" s="4"/>
    </row>
    <row r="28" spans="1:11" ht="25.75" customHeight="1" x14ac:dyDescent="0.35">
      <c r="A28" s="5" t="s">
        <v>71</v>
      </c>
      <c r="B28" s="5" t="s">
        <v>45</v>
      </c>
      <c r="C28" s="3" t="s">
        <v>34</v>
      </c>
      <c r="D28" s="5" t="s">
        <v>45</v>
      </c>
      <c r="E28" s="5" t="s">
        <v>101</v>
      </c>
      <c r="F28" s="6">
        <v>3887</v>
      </c>
      <c r="G28">
        <v>0.02</v>
      </c>
      <c r="H28" s="7">
        <v>567812.96</v>
      </c>
      <c r="I28" s="3" t="s">
        <v>43</v>
      </c>
      <c r="K28" s="4"/>
    </row>
    <row r="29" spans="1:11" ht="25.75" customHeight="1" x14ac:dyDescent="0.35">
      <c r="A29" s="5" t="s">
        <v>72</v>
      </c>
      <c r="B29" s="5" t="s">
        <v>45</v>
      </c>
      <c r="C29" s="3" t="s">
        <v>34</v>
      </c>
      <c r="D29" s="5" t="s">
        <v>45</v>
      </c>
      <c r="E29" s="5" t="s">
        <v>102</v>
      </c>
      <c r="F29" s="6">
        <v>6525</v>
      </c>
      <c r="G29">
        <v>0.02</v>
      </c>
      <c r="H29" s="7">
        <v>565456.5</v>
      </c>
      <c r="I29" s="3" t="s">
        <v>43</v>
      </c>
      <c r="K29" s="4"/>
    </row>
    <row r="30" spans="1:11" ht="25.75" customHeight="1" x14ac:dyDescent="0.35">
      <c r="A30" s="5" t="s">
        <v>73</v>
      </c>
      <c r="B30" s="5" t="s">
        <v>45</v>
      </c>
      <c r="C30" s="3" t="s">
        <v>34</v>
      </c>
      <c r="D30" s="5" t="s">
        <v>45</v>
      </c>
      <c r="E30" s="5" t="s">
        <v>103</v>
      </c>
      <c r="F30" s="6">
        <v>810</v>
      </c>
      <c r="G30">
        <v>0.02</v>
      </c>
      <c r="H30" s="7">
        <v>543469.5</v>
      </c>
      <c r="I30" s="3" t="s">
        <v>43</v>
      </c>
      <c r="K30" s="4"/>
    </row>
    <row r="31" spans="1:11" ht="25.75" customHeight="1" x14ac:dyDescent="0.35">
      <c r="A31" s="5" t="s">
        <v>74</v>
      </c>
      <c r="B31" s="5" t="s">
        <v>45</v>
      </c>
      <c r="C31" s="3" t="s">
        <v>34</v>
      </c>
      <c r="D31" s="5" t="s">
        <v>45</v>
      </c>
      <c r="E31" s="5" t="s">
        <v>104</v>
      </c>
      <c r="F31" s="6">
        <v>647</v>
      </c>
      <c r="G31">
        <v>0.02</v>
      </c>
      <c r="H31" s="7">
        <v>522491.32</v>
      </c>
      <c r="I31" s="3" t="s">
        <v>43</v>
      </c>
      <c r="K3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E5AE-2189-4CB5-B697-98E9C7102F0E}">
  <dimension ref="A3:J10"/>
  <sheetViews>
    <sheetView workbookViewId="0">
      <selection activeCell="C25" sqref="C25"/>
    </sheetView>
  </sheetViews>
  <sheetFormatPr defaultRowHeight="14.5" x14ac:dyDescent="0.35"/>
  <cols>
    <col min="1" max="1" width="12.453125" bestFit="1" customWidth="1"/>
    <col min="2" max="2" width="14.26953125" style="10" bestFit="1" customWidth="1"/>
    <col min="3" max="3" width="17.81640625" style="10" bestFit="1" customWidth="1"/>
  </cols>
  <sheetData>
    <row r="3" spans="1:10" x14ac:dyDescent="0.35">
      <c r="A3" s="8" t="s">
        <v>107</v>
      </c>
      <c r="B3" s="10" t="s">
        <v>110</v>
      </c>
      <c r="C3" s="10" t="s">
        <v>113</v>
      </c>
    </row>
    <row r="4" spans="1:10" x14ac:dyDescent="0.35">
      <c r="A4" s="9" t="s">
        <v>25</v>
      </c>
      <c r="B4" s="10">
        <v>19740000</v>
      </c>
    </row>
    <row r="5" spans="1:10" x14ac:dyDescent="0.35">
      <c r="A5" s="9" t="s">
        <v>112</v>
      </c>
      <c r="B5" s="10">
        <v>4200000</v>
      </c>
    </row>
    <row r="6" spans="1:10" x14ac:dyDescent="0.35">
      <c r="A6" s="9" t="s">
        <v>45</v>
      </c>
      <c r="B6" s="10">
        <v>167651</v>
      </c>
      <c r="C6" s="10">
        <v>38757214.899999999</v>
      </c>
      <c r="J6">
        <v>60</v>
      </c>
    </row>
    <row r="7" spans="1:10" x14ac:dyDescent="0.35">
      <c r="A7" s="9" t="s">
        <v>108</v>
      </c>
      <c r="J7">
        <f>J6*0.6</f>
        <v>36</v>
      </c>
    </row>
    <row r="8" spans="1:10" x14ac:dyDescent="0.35">
      <c r="A8" s="9" t="s">
        <v>109</v>
      </c>
      <c r="B8" s="10">
        <v>24107651</v>
      </c>
      <c r="C8" s="10">
        <v>38757214.899999999</v>
      </c>
      <c r="J8">
        <f>J6*0.4</f>
        <v>24</v>
      </c>
    </row>
    <row r="10" spans="1:10" x14ac:dyDescent="0.35">
      <c r="J10">
        <f>20/0.47</f>
        <v>42.553191489361701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23AE-9436-406E-A97B-777FF612E400}">
  <dimension ref="A1:N33"/>
  <sheetViews>
    <sheetView topLeftCell="B14" workbookViewId="0">
      <selection activeCell="E33" sqref="E33:N33"/>
    </sheetView>
  </sheetViews>
  <sheetFormatPr defaultRowHeight="14.5" x14ac:dyDescent="0.35"/>
  <cols>
    <col min="1" max="1" width="20.26953125" customWidth="1"/>
    <col min="5" max="6" width="13.453125" bestFit="1" customWidth="1"/>
    <col min="10" max="10" width="35.7265625" customWidth="1"/>
  </cols>
  <sheetData>
    <row r="1" spans="1:11" ht="15" thickBot="1" x14ac:dyDescent="0.4">
      <c r="A1" s="1" t="s">
        <v>0</v>
      </c>
    </row>
    <row r="2" spans="1:11" ht="56.5" thickBot="1" x14ac:dyDescent="0.4">
      <c r="A2" s="1" t="s">
        <v>40</v>
      </c>
      <c r="E2" s="11" t="s">
        <v>115</v>
      </c>
      <c r="F2" s="11" t="s">
        <v>116</v>
      </c>
      <c r="I2" s="11" t="s">
        <v>117</v>
      </c>
      <c r="J2" s="11" t="s">
        <v>118</v>
      </c>
    </row>
    <row r="3" spans="1:11" ht="15" thickBot="1" x14ac:dyDescent="0.4">
      <c r="A3" s="1" t="s">
        <v>42</v>
      </c>
      <c r="E3" s="12">
        <v>0.18181818199999999</v>
      </c>
      <c r="F3" s="12">
        <v>3.6363635999999998E-2</v>
      </c>
      <c r="I3" s="12">
        <v>1</v>
      </c>
      <c r="J3" s="12">
        <v>2.427E-2</v>
      </c>
      <c r="K3">
        <f>J3/2</f>
        <v>1.2135E-2</v>
      </c>
    </row>
    <row r="4" spans="1:11" ht="15" thickBot="1" x14ac:dyDescent="0.4">
      <c r="A4" s="1" t="s">
        <v>1</v>
      </c>
      <c r="E4" s="12">
        <v>9.0909090999999997E-2</v>
      </c>
      <c r="F4" s="12">
        <v>3.6363635999999998E-2</v>
      </c>
      <c r="I4" s="12">
        <v>2</v>
      </c>
      <c r="J4" s="12">
        <v>0.15567800000000001</v>
      </c>
      <c r="K4">
        <f t="shared" ref="K4:K25" si="0">J4/2</f>
        <v>7.7839000000000005E-2</v>
      </c>
    </row>
    <row r="5" spans="1:11" ht="15" thickBot="1" x14ac:dyDescent="0.4">
      <c r="A5" s="1" t="s">
        <v>105</v>
      </c>
      <c r="E5" s="12">
        <v>3.6363635999999998E-2</v>
      </c>
      <c r="F5" s="12">
        <v>0.18181818199999999</v>
      </c>
      <c r="I5" s="12">
        <v>3</v>
      </c>
      <c r="J5" s="12">
        <v>6.8099999999999994E-2</v>
      </c>
      <c r="K5">
        <f t="shared" si="0"/>
        <v>3.4049999999999997E-2</v>
      </c>
    </row>
    <row r="6" spans="1:11" ht="15" thickBot="1" x14ac:dyDescent="0.4">
      <c r="A6" s="1" t="s">
        <v>2</v>
      </c>
      <c r="E6" s="12">
        <v>3.6363635999999998E-2</v>
      </c>
      <c r="F6" s="12">
        <v>3.6363635999999998E-2</v>
      </c>
      <c r="I6" s="12">
        <v>4</v>
      </c>
      <c r="J6" s="12">
        <v>4.7216000000000001E-2</v>
      </c>
      <c r="K6">
        <f t="shared" si="0"/>
        <v>2.3608000000000001E-2</v>
      </c>
    </row>
    <row r="7" spans="1:11" ht="15" thickBot="1" x14ac:dyDescent="0.4">
      <c r="A7" s="1" t="s">
        <v>26</v>
      </c>
      <c r="E7" s="12">
        <v>3.6363635999999998E-2</v>
      </c>
      <c r="F7" s="12">
        <v>3.6363635999999998E-2</v>
      </c>
      <c r="I7" s="12">
        <v>5</v>
      </c>
      <c r="J7" s="12">
        <v>8.7729999999999995E-3</v>
      </c>
      <c r="K7">
        <f t="shared" si="0"/>
        <v>4.3864999999999998E-3</v>
      </c>
    </row>
    <row r="8" spans="1:11" ht="15" thickBot="1" x14ac:dyDescent="0.4">
      <c r="A8" s="1" t="s">
        <v>31</v>
      </c>
      <c r="E8" s="12">
        <v>3.6363635999999998E-2</v>
      </c>
      <c r="F8" s="12">
        <v>3.6363635999999998E-2</v>
      </c>
      <c r="I8" s="12">
        <v>6</v>
      </c>
      <c r="J8" s="12">
        <v>8.7709999999999993E-3</v>
      </c>
      <c r="K8">
        <f t="shared" si="0"/>
        <v>4.3854999999999996E-3</v>
      </c>
    </row>
    <row r="9" spans="1:11" ht="15" thickBot="1" x14ac:dyDescent="0.4">
      <c r="A9" s="1" t="s">
        <v>23</v>
      </c>
      <c r="E9" s="12">
        <v>3.6363635999999998E-2</v>
      </c>
      <c r="F9" s="12">
        <v>3.6363635999999998E-2</v>
      </c>
      <c r="I9" s="12">
        <v>7</v>
      </c>
      <c r="J9" s="12">
        <v>3.0950000000000001E-3</v>
      </c>
      <c r="K9">
        <f t="shared" si="0"/>
        <v>1.5475E-3</v>
      </c>
    </row>
    <row r="10" spans="1:11" ht="15" thickBot="1" x14ac:dyDescent="0.4">
      <c r="E10" s="12">
        <v>3.6363635999999998E-2</v>
      </c>
      <c r="F10" s="12">
        <v>3.6363635999999998E-2</v>
      </c>
      <c r="I10" s="12">
        <v>8</v>
      </c>
      <c r="J10" s="12">
        <v>0.104017</v>
      </c>
      <c r="K10">
        <f t="shared" si="0"/>
        <v>5.2008499999999999E-2</v>
      </c>
    </row>
    <row r="11" spans="1:11" ht="15" thickBot="1" x14ac:dyDescent="0.4">
      <c r="E11" s="12">
        <v>3.6363635999999998E-2</v>
      </c>
      <c r="F11" s="12">
        <v>9.0909090999999997E-2</v>
      </c>
      <c r="I11" s="12">
        <v>9</v>
      </c>
      <c r="J11" s="12">
        <v>4.7532999999999999E-2</v>
      </c>
      <c r="K11">
        <f t="shared" si="0"/>
        <v>2.3766499999999999E-2</v>
      </c>
    </row>
    <row r="12" spans="1:11" ht="15" thickBot="1" x14ac:dyDescent="0.4">
      <c r="E12" s="12">
        <v>3.6363635999999998E-2</v>
      </c>
      <c r="F12" s="12">
        <v>3.6363635999999998E-2</v>
      </c>
      <c r="I12" s="12">
        <v>10</v>
      </c>
      <c r="J12" s="12">
        <v>6.3677999999999998E-2</v>
      </c>
      <c r="K12">
        <f t="shared" si="0"/>
        <v>3.1838999999999999E-2</v>
      </c>
    </row>
    <row r="13" spans="1:11" ht="15" thickBot="1" x14ac:dyDescent="0.4">
      <c r="E13" s="12">
        <v>3.6363635999999998E-2</v>
      </c>
      <c r="F13" s="12">
        <v>3.6363635999999998E-2</v>
      </c>
      <c r="I13" s="12">
        <v>11</v>
      </c>
      <c r="J13" s="12">
        <v>1.0759999999999999E-3</v>
      </c>
      <c r="K13">
        <f t="shared" si="0"/>
        <v>5.3799999999999996E-4</v>
      </c>
    </row>
    <row r="14" spans="1:11" ht="15" thickBot="1" x14ac:dyDescent="0.4">
      <c r="E14" s="12">
        <v>3.6363635999999998E-2</v>
      </c>
      <c r="F14" s="12">
        <v>3.6363635999999998E-2</v>
      </c>
      <c r="I14" s="12">
        <v>12</v>
      </c>
      <c r="J14" s="12">
        <v>0.181198</v>
      </c>
      <c r="K14">
        <f t="shared" si="0"/>
        <v>9.0598999999999999E-2</v>
      </c>
    </row>
    <row r="15" spans="1:11" ht="15" thickBot="1" x14ac:dyDescent="0.4">
      <c r="E15" s="12">
        <v>3.6363635999999998E-2</v>
      </c>
      <c r="F15" s="12">
        <v>3.6363635999999998E-2</v>
      </c>
      <c r="I15" s="12">
        <v>13</v>
      </c>
      <c r="J15" s="12">
        <v>9.2391000000000001E-2</v>
      </c>
      <c r="K15">
        <f t="shared" si="0"/>
        <v>4.61955E-2</v>
      </c>
    </row>
    <row r="16" spans="1:11" ht="15" thickBot="1" x14ac:dyDescent="0.4">
      <c r="E16" s="12">
        <v>3.6363635999999998E-2</v>
      </c>
      <c r="F16" s="12">
        <v>3.6363635999999998E-2</v>
      </c>
      <c r="I16" s="12">
        <v>14</v>
      </c>
      <c r="J16" s="12">
        <v>1.2345E-2</v>
      </c>
      <c r="K16">
        <f t="shared" si="0"/>
        <v>6.1725E-3</v>
      </c>
    </row>
    <row r="17" spans="5:14" ht="15" thickBot="1" x14ac:dyDescent="0.4">
      <c r="E17" s="12">
        <v>3.6363635999999998E-2</v>
      </c>
      <c r="F17" s="12">
        <v>3.6363635999999998E-2</v>
      </c>
      <c r="I17" s="12">
        <v>15</v>
      </c>
      <c r="J17" s="12">
        <v>1.0378999999999999E-2</v>
      </c>
      <c r="K17">
        <f t="shared" si="0"/>
        <v>5.1894999999999997E-3</v>
      </c>
    </row>
    <row r="18" spans="5:14" ht="15" thickBot="1" x14ac:dyDescent="0.4">
      <c r="E18" s="12">
        <v>3.6363635999999998E-2</v>
      </c>
      <c r="F18" s="12">
        <v>3.6363635999999998E-2</v>
      </c>
      <c r="I18" s="12">
        <v>16</v>
      </c>
      <c r="J18" s="12">
        <v>1.0479E-2</v>
      </c>
      <c r="K18">
        <f t="shared" si="0"/>
        <v>5.2395000000000002E-3</v>
      </c>
    </row>
    <row r="19" spans="5:14" ht="15" thickBot="1" x14ac:dyDescent="0.4">
      <c r="E19" s="12">
        <v>3.6363635999999998E-2</v>
      </c>
      <c r="F19" s="12">
        <v>3.6363635999999998E-2</v>
      </c>
      <c r="I19" s="12">
        <v>17</v>
      </c>
      <c r="J19" s="12">
        <v>1.8761E-2</v>
      </c>
      <c r="K19">
        <f t="shared" si="0"/>
        <v>9.3804999999999999E-3</v>
      </c>
    </row>
    <row r="20" spans="5:14" ht="15" thickBot="1" x14ac:dyDescent="0.4">
      <c r="E20" s="12">
        <v>3.6363635999999998E-2</v>
      </c>
      <c r="F20" s="12">
        <v>3.6363635999999998E-2</v>
      </c>
      <c r="I20" s="12">
        <v>18</v>
      </c>
      <c r="J20" s="12">
        <v>3.8475000000000002E-2</v>
      </c>
      <c r="K20">
        <f t="shared" si="0"/>
        <v>1.9237500000000001E-2</v>
      </c>
    </row>
    <row r="21" spans="5:14" ht="15" thickBot="1" x14ac:dyDescent="0.4">
      <c r="E21" s="12">
        <v>3.6363635999999998E-2</v>
      </c>
      <c r="F21" s="12">
        <v>3.6363635999999998E-2</v>
      </c>
      <c r="I21" s="12">
        <v>19</v>
      </c>
      <c r="J21" s="12">
        <v>2.9249000000000001E-2</v>
      </c>
      <c r="K21">
        <f t="shared" si="0"/>
        <v>1.46245E-2</v>
      </c>
    </row>
    <row r="22" spans="5:14" ht="15" thickBot="1" x14ac:dyDescent="0.4">
      <c r="E22" s="12">
        <v>3.6363635999999998E-2</v>
      </c>
      <c r="F22" s="12">
        <v>3.6363635999999998E-2</v>
      </c>
      <c r="I22" s="12">
        <v>20</v>
      </c>
      <c r="J22" s="12">
        <v>1.7802999999999999E-2</v>
      </c>
      <c r="K22">
        <f t="shared" si="0"/>
        <v>8.9014999999999997E-3</v>
      </c>
    </row>
    <row r="23" spans="5:14" ht="15" thickBot="1" x14ac:dyDescent="0.4">
      <c r="E23" s="12">
        <v>3.6363635999999998E-2</v>
      </c>
      <c r="F23" s="12">
        <v>3.6363635999999998E-2</v>
      </c>
      <c r="I23" s="12">
        <v>21</v>
      </c>
      <c r="J23" s="12">
        <v>4.8945000000000002E-2</v>
      </c>
      <c r="K23">
        <f t="shared" si="0"/>
        <v>2.4472500000000001E-2</v>
      </c>
    </row>
    <row r="24" spans="5:14" ht="15" thickBot="1" x14ac:dyDescent="0.4">
      <c r="E24" s="12">
        <v>3.6363635999999998E-2</v>
      </c>
      <c r="F24" s="12">
        <v>3.6363635999999998E-2</v>
      </c>
      <c r="I24" s="12">
        <v>22</v>
      </c>
      <c r="J24" s="12">
        <v>7.77E-3</v>
      </c>
      <c r="K24">
        <f t="shared" si="0"/>
        <v>3.885E-3</v>
      </c>
    </row>
    <row r="25" spans="5:14" ht="28.5" thickBot="1" x14ac:dyDescent="0.4">
      <c r="I25" s="11" t="s">
        <v>119</v>
      </c>
      <c r="J25" s="11">
        <v>1</v>
      </c>
      <c r="K25">
        <f t="shared" si="0"/>
        <v>0.5</v>
      </c>
    </row>
    <row r="31" spans="5:14" x14ac:dyDescent="0.35">
      <c r="E31">
        <v>0.05</v>
      </c>
      <c r="F31">
        <v>0.05</v>
      </c>
      <c r="G31">
        <v>0.05</v>
      </c>
      <c r="H31">
        <v>0.05</v>
      </c>
      <c r="I31">
        <v>0.05</v>
      </c>
      <c r="J31">
        <v>0.05</v>
      </c>
      <c r="K31">
        <v>0.05</v>
      </c>
      <c r="L31">
        <v>0.05</v>
      </c>
      <c r="M31">
        <v>0.05</v>
      </c>
      <c r="N31">
        <v>0.05</v>
      </c>
    </row>
    <row r="32" spans="5:14" x14ac:dyDescent="0.35">
      <c r="E32">
        <v>0.03</v>
      </c>
      <c r="F32">
        <v>0.03</v>
      </c>
      <c r="G32">
        <v>0.03</v>
      </c>
      <c r="H32">
        <v>0.03</v>
      </c>
      <c r="I32">
        <v>0.03</v>
      </c>
      <c r="J32">
        <v>0.03</v>
      </c>
      <c r="K32">
        <v>0.03</v>
      </c>
      <c r="L32">
        <v>0.03</v>
      </c>
      <c r="M32">
        <v>0.03</v>
      </c>
      <c r="N32">
        <v>0.03</v>
      </c>
    </row>
    <row r="33" spans="5:14" x14ac:dyDescent="0.35">
      <c r="E33">
        <v>0.02</v>
      </c>
      <c r="F33">
        <v>0.02</v>
      </c>
      <c r="G33">
        <v>0.02</v>
      </c>
      <c r="H33">
        <v>0.02</v>
      </c>
      <c r="I33">
        <v>0.02</v>
      </c>
      <c r="J33">
        <v>0.02</v>
      </c>
      <c r="K33">
        <v>0.02</v>
      </c>
      <c r="L33">
        <v>0.02</v>
      </c>
      <c r="M33">
        <v>0.02</v>
      </c>
      <c r="N33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Holdings</vt:lpstr>
      <vt:lpstr>FI benchmark</vt:lpstr>
      <vt:lpstr>Equity benchmark</vt:lpstr>
      <vt:lpstr>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2025-05-10T15:50:31Z</dcterms:created>
  <dcterms:modified xsi:type="dcterms:W3CDTF">2026-02-21T22:08:17Z</dcterms:modified>
</cp:coreProperties>
</file>